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ampleSize" sheetId="2" state="visible" r:id="rId2"/>
    <sheet xmlns:r="http://schemas.openxmlformats.org/officeDocument/2006/relationships" name="02_Codebook" sheetId="3" state="visible" r:id="rId3"/>
    <sheet xmlns:r="http://schemas.openxmlformats.org/officeDocument/2006/relationships" name="03_Items" sheetId="4" state="visible" r:id="rId4"/>
    <sheet xmlns:r="http://schemas.openxmlformats.org/officeDocument/2006/relationships" name="04_DATA" sheetId="5" state="visible" r:id="rId5"/>
    <sheet xmlns:r="http://schemas.openxmlformats.org/officeDocument/2006/relationships" name="05_ValueLabels" sheetId="6" state="visible" r:id="rId6"/>
    <sheet xmlns:r="http://schemas.openxmlformats.org/officeDocument/2006/relationships" name="06_SampleTracker" sheetId="7" state="visible" r:id="rId7"/>
    <sheet xmlns:r="http://schemas.openxmlformats.org/officeDocument/2006/relationships" name="07_QualityChecks" sheetId="8" state="visible" r:id="rId8"/>
  </sheets>
  <definedNames>
    <definedName name="_xlnm._FilterDatabase" localSheetId="2" hidden="1">'02_Codebook'!$A$3:$F$71</definedName>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
  </numFmts>
  <fonts count="13">
    <font>
      <name val="Calibri"/>
      <family val="2"/>
      <color theme="1"/>
      <sz val="11"/>
      <scheme val="minor"/>
    </font>
    <font>
      <b val="1"/>
      <sz val="14"/>
    </font>
    <font>
      <b val="1"/>
      <sz val="10"/>
    </font>
    <font>
      <sz val="10"/>
    </font>
    <font>
      <b val="1"/>
      <color rgb="001F3864"/>
      <sz val="11"/>
    </font>
    <font>
      <b val="1"/>
      <color rgb="00BF8F00"/>
    </font>
    <font>
      <b val="1"/>
      <color rgb="00C00000"/>
    </font>
    <font>
      <color rgb="00555555"/>
      <sz val="9"/>
    </font>
    <font>
      <name val="Calibri"/>
      <b val="1"/>
      <color rgb="00FFFFFF"/>
      <sz val="10"/>
    </font>
    <font>
      <b val="1"/>
      <color rgb="00C00000"/>
      <sz val="11"/>
    </font>
    <font>
      <b val="1"/>
      <color rgb="001F3864"/>
      <sz val="10"/>
    </font>
    <font>
      <b val="1"/>
      <sz val="13"/>
    </font>
    <font>
      <color rgb="00C00000"/>
      <sz val="9"/>
    </font>
  </fonts>
  <fills count="9">
    <fill>
      <patternFill/>
    </fill>
    <fill>
      <patternFill patternType="gray125"/>
    </fill>
    <fill>
      <patternFill patternType="solid">
        <fgColor rgb="001F3864"/>
      </patternFill>
    </fill>
    <fill>
      <patternFill patternType="solid">
        <fgColor rgb="00FFC7CE"/>
      </patternFill>
    </fill>
    <fill>
      <patternFill patternType="solid">
        <fgColor rgb="00FFF2CC"/>
      </patternFill>
    </fill>
    <fill>
      <patternFill patternType="solid">
        <fgColor rgb="00C6EFCE"/>
      </patternFill>
    </fill>
    <fill>
      <patternFill patternType="solid">
        <fgColor rgb="00DEEBF7"/>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4" fillId="0" borderId="0" pivotButton="0" quotePrefix="0" xfId="0"/>
    <xf numFmtId="0" fontId="8"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7" fillId="0" borderId="0" pivotButton="0" quotePrefix="0" xfId="0"/>
    <xf numFmtId="0" fontId="3" fillId="3" borderId="1" applyAlignment="1" pivotButton="0" quotePrefix="0" xfId="0">
      <alignment horizontal="center" vertical="top"/>
    </xf>
    <xf numFmtId="164" fontId="3" fillId="3" borderId="1" applyAlignment="1" pivotButton="0" quotePrefix="0" xfId="0">
      <alignment horizontal="center" vertical="top"/>
    </xf>
    <xf numFmtId="165" fontId="3" fillId="3" borderId="1" applyAlignment="1" pivotButton="0" quotePrefix="0" xfId="0">
      <alignment horizontal="center" vertical="top"/>
    </xf>
    <xf numFmtId="0" fontId="3" fillId="3" borderId="1" applyAlignment="1" pivotButton="0" quotePrefix="0" xfId="0">
      <alignment vertical="top" wrapText="1"/>
    </xf>
    <xf numFmtId="0" fontId="3" fillId="4" borderId="1" applyAlignment="1" pivotButton="0" quotePrefix="0" xfId="0">
      <alignment horizontal="center" vertical="top"/>
    </xf>
    <xf numFmtId="164" fontId="3" fillId="4" borderId="1" applyAlignment="1" pivotButton="0" quotePrefix="0" xfId="0">
      <alignment horizontal="center" vertical="top"/>
    </xf>
    <xf numFmtId="165" fontId="3" fillId="4" borderId="1" applyAlignment="1" pivotButton="0" quotePrefix="0" xfId="0">
      <alignment horizontal="center" vertical="top"/>
    </xf>
    <xf numFmtId="0" fontId="3" fillId="4" borderId="1" applyAlignment="1" pivotButton="0" quotePrefix="0" xfId="0">
      <alignment vertical="top" wrapText="1"/>
    </xf>
    <xf numFmtId="0" fontId="3" fillId="5" borderId="1" applyAlignment="1" pivotButton="0" quotePrefix="0" xfId="0">
      <alignment horizontal="center" vertical="top"/>
    </xf>
    <xf numFmtId="164" fontId="3" fillId="5" borderId="1" applyAlignment="1" pivotButton="0" quotePrefix="0" xfId="0">
      <alignment horizontal="center" vertical="top"/>
    </xf>
    <xf numFmtId="165" fontId="3" fillId="5" borderId="1" applyAlignment="1" pivotButton="0" quotePrefix="0" xfId="0">
      <alignment horizontal="center" vertical="top"/>
    </xf>
    <xf numFmtId="0" fontId="3" fillId="5" borderId="1" applyAlignment="1" pivotButton="0" quotePrefix="0" xfId="0">
      <alignment vertical="top" wrapText="1"/>
    </xf>
    <xf numFmtId="0" fontId="2" fillId="5" borderId="1" applyAlignment="1" pivotButton="0" quotePrefix="0" xfId="0">
      <alignment horizontal="center" vertical="top"/>
    </xf>
    <xf numFmtId="164" fontId="2" fillId="5" borderId="1" applyAlignment="1" pivotButton="0" quotePrefix="0" xfId="0">
      <alignment horizontal="center" vertical="top"/>
    </xf>
    <xf numFmtId="165" fontId="2" fillId="5" borderId="1" applyAlignment="1" pivotButton="0" quotePrefix="0" xfId="0">
      <alignment horizontal="center" vertical="top"/>
    </xf>
    <xf numFmtId="0" fontId="2" fillId="5" borderId="1" applyAlignment="1" pivotButton="0" quotePrefix="0" xfId="0">
      <alignment vertical="top" wrapText="1"/>
    </xf>
    <xf numFmtId="0" fontId="9" fillId="0" borderId="0" pivotButton="0" quotePrefix="0" xfId="0"/>
    <xf numFmtId="0" fontId="3" fillId="0" borderId="1" applyAlignment="1" pivotButton="0" quotePrefix="0" xfId="0">
      <alignment horizontal="center"/>
    </xf>
    <xf numFmtId="164" fontId="3" fillId="3" borderId="1" applyAlignment="1" pivotButton="0" quotePrefix="0" xfId="0">
      <alignment horizontal="center"/>
    </xf>
    <xf numFmtId="164" fontId="3" fillId="0" borderId="1" applyAlignment="1" pivotButton="0" quotePrefix="0" xfId="0">
      <alignment horizontal="center"/>
    </xf>
    <xf numFmtId="164" fontId="3" fillId="5" borderId="1" applyAlignment="1" pivotButton="0" quotePrefix="0" xfId="0">
      <alignment horizontal="center"/>
    </xf>
    <xf numFmtId="165" fontId="3" fillId="0" borderId="1" applyAlignment="1" pivotButton="0" quotePrefix="0" xfId="0">
      <alignment horizontal="center"/>
    </xf>
    <xf numFmtId="0" fontId="2" fillId="0" borderId="1" applyAlignment="1" pivotButton="0" quotePrefix="0" xfId="0">
      <alignment horizontal="center"/>
    </xf>
    <xf numFmtId="164" fontId="2" fillId="3" borderId="1" applyAlignment="1" pivotButton="0" quotePrefix="0" xfId="0">
      <alignment horizontal="center"/>
    </xf>
    <xf numFmtId="164" fontId="2" fillId="0" borderId="1" applyAlignment="1" pivotButton="0" quotePrefix="0" xfId="0">
      <alignment horizontal="center"/>
    </xf>
    <xf numFmtId="164" fontId="2" fillId="5" borderId="1" applyAlignment="1" pivotButton="0" quotePrefix="0" xfId="0">
      <alignment horizontal="center"/>
    </xf>
    <xf numFmtId="165" fontId="2" fillId="0" borderId="1" applyAlignment="1" pivotButton="0" quotePrefix="0" xfId="0">
      <alignment horizontal="center"/>
    </xf>
    <xf numFmtId="0" fontId="10" fillId="0" borderId="0" pivotButton="0" quotePrefix="0" xfId="0"/>
    <xf numFmtId="0" fontId="11" fillId="0" borderId="0" pivotButton="0" quotePrefix="0" xfId="0"/>
    <xf numFmtId="0" fontId="3" fillId="6" borderId="1" applyAlignment="1" pivotButton="0" quotePrefix="0" xfId="0">
      <alignment vertical="top"/>
    </xf>
    <xf numFmtId="0" fontId="3" fillId="6" borderId="1" applyAlignment="1" pivotButton="0" quotePrefix="0" xfId="0">
      <alignment vertical="top" wrapText="1"/>
    </xf>
    <xf numFmtId="0" fontId="3" fillId="7" borderId="1" applyAlignment="1" pivotButton="0" quotePrefix="0" xfId="0">
      <alignment vertical="top"/>
    </xf>
    <xf numFmtId="0" fontId="3" fillId="7" borderId="1" applyAlignment="1" pivotButton="0" quotePrefix="0" xfId="0">
      <alignment vertical="top" wrapText="1"/>
    </xf>
    <xf numFmtId="0" fontId="3" fillId="4" borderId="1" applyAlignment="1" pivotButton="0" quotePrefix="0" xfId="0">
      <alignment vertical="top"/>
    </xf>
    <xf numFmtId="0" fontId="3" fillId="3" borderId="1" applyAlignment="1" pivotButton="0" quotePrefix="0" xfId="0">
      <alignment vertical="top"/>
    </xf>
    <xf numFmtId="0" fontId="3" fillId="8" borderId="1" applyAlignment="1" pivotButton="0" quotePrefix="0" xfId="0">
      <alignment vertical="top"/>
    </xf>
    <xf numFmtId="0" fontId="3" fillId="8" borderId="1" applyAlignment="1" pivotButton="0" quotePrefix="0" xfId="0">
      <alignment vertical="top" wrapText="1"/>
    </xf>
    <xf numFmtId="0" fontId="12" fillId="0" borderId="0" applyAlignment="1" pivotButton="0" quotePrefix="0" xfId="0">
      <alignment vertical="top" wrapText="1"/>
    </xf>
    <xf numFmtId="0" fontId="3" fillId="7" borderId="1" applyAlignment="1" pivotButton="0" quotePrefix="0" xfId="0">
      <alignment horizontal="center" vertical="top"/>
    </xf>
    <xf numFmtId="0" fontId="8" fillId="2" borderId="1" applyAlignment="1" pivotButton="0" quotePrefix="0" xfId="0">
      <alignment horizontal="center" vertical="center"/>
    </xf>
    <xf numFmtId="0" fontId="3" fillId="0" borderId="1" pivotButton="0" quotePrefix="0" xfId="0"/>
    <xf numFmtId="0" fontId="3" fillId="6" borderId="1" pivotButton="0" quotePrefix="0" xfId="0"/>
    <xf numFmtId="166" fontId="3" fillId="0" borderId="1" pivotButton="0" quotePrefix="0" xfId="0"/>
    <xf numFmtId="0" fontId="2" fillId="4" borderId="1" pivotButton="0" quotePrefix="0" xfId="0"/>
    <xf numFmtId="166" fontId="0" fillId="4" borderId="1" pivotButton="0" quotePrefix="0" xfId="0"/>
    <xf numFmtId="0" fontId="0" fillId="4" borderId="1" pivotButton="0" quotePrefix="0" xfId="0"/>
    <xf numFmtId="0" fontId="2" fillId="0" borderId="1" pivotButton="0" quotePrefix="0" xfId="0"/>
    <xf numFmtId="164" fontId="2" fillId="0" borderId="1" pivotButton="0" quotePrefix="0" xfId="0"/>
    <xf numFmtId="9" fontId="3" fillId="0" borderId="1" pivotButton="0" quotePrefix="0" xfId="0"/>
    <xf numFmtId="164" fontId="0" fillId="0" borderId="1" pivotButton="0" quotePrefix="0" xfId="0"/>
    <xf numFmtId="0" fontId="0" fillId="0" borderId="1" pivotButton="0" quotePrefix="0" xfId="0"/>
    <xf numFmtId="0" fontId="7" fillId="0" borderId="1" applyAlignment="1" pivotButton="0" quotePrefix="0" xfId="0">
      <alignment vertical="top" wrapText="1"/>
    </xf>
    <xf numFmtId="0" fontId="2" fillId="3" borderId="1" pivotButton="0" quotePrefix="0" xfId="0"/>
    <xf numFmtId="164" fontId="0" fillId="3" borderId="1" pivotButton="0" quotePrefix="0" xfId="0"/>
    <xf numFmtId="0" fontId="0" fillId="3" borderId="1" pivotButton="0" quotePrefix="0" xfId="0"/>
    <xf numFmtId="0" fontId="7" fillId="3" borderId="1" applyAlignment="1" pivotButton="0" quotePrefix="0" xfId="0">
      <alignment vertical="top" wrapText="1"/>
    </xf>
  </cellXfs>
  <cellStyles count="1">
    <cellStyle name="Normal" xfId="0" builtinId="0" hidden="0"/>
  </cellStyles>
  <dxfs count="2">
    <dxf>
      <fill>
        <patternFill patternType="solid">
          <fgColor rgb="00FFC7CE"/>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Codebook</author>
  </authors>
  <commentList>
    <comment ref="A1" authorId="0" shapeId="0">
      <text>
        <t>Respondent identifier
Type: text
Allowed: unique
Required. Any unique code.</t>
      </text>
    </comment>
    <comment ref="B1" authorId="0" shapeId="0">
      <text>
        <t>Date of interview
Type: date
Allowed: yyyy-mm-dd
Required.</t>
      </text>
    </comment>
    <comment ref="C1" authorId="0" shapeId="0">
      <text>
        <t>Enumerator identifier
Type: text
Allowed: 
Required — needed for the enumerator-effects robustness check.</t>
      </text>
    </comment>
    <comment ref="D1" authorId="0" shapeId="0">
      <text>
        <t>Interview duration in minutes
Type: integer
Allowed: &gt;0
Required — needed for the fast-completion flag.</t>
      </text>
    </comment>
    <comment ref="E1" authorId="0" shapeId="0">
      <text>
        <t>Sampling stratum
Type: integer
Allowed: 1–6
See 05_ValueLabels. Required for Table 9 response accounting.</t>
      </text>
    </comment>
    <comment ref="F1" authorId="0" shapeId="0">
      <text>
        <t>Network position
Type: integer
Allowed: 1–4
See 05_ValueLabels. Used as the MGA grouping variable, NOT as a covariate.</t>
      </text>
    </comment>
    <comment ref="G1" authorId="0" shapeId="0">
      <text>
        <t>Keeps or supervises records?
Type: integer
Allowed: 0/1
Screening. Must be 1 to be eligible.</t>
      </text>
    </comment>
    <comment ref="H1" authorId="0" shapeId="0">
      <text>
        <t>Participates in pricing / disposal decisions?
Type: integer
Allowed: 0/1
Screening. Must be 1 to be eligible.</t>
      </text>
    </comment>
    <comment ref="I1" authorId="0" shapeId="0">
      <text>
        <t>Seasons in this role
Type: integer
Allowed: &gt;=0
Screening. Must be &gt;=3 (the outcome items are change over three seasons).</t>
      </text>
    </comment>
    <comment ref="J1" authorId="0" shapeId="0">
      <text>
        <t>Self-described role
Type: integer
Allowed: 1–6
Assigns STRATUM. See 05_ValueLabels.</t>
      </text>
    </comment>
    <comment ref="K1" authorId="0" shapeId="0">
      <text>
        <t>Circular accounting capability item 1
Type: integer
Allowed: 1–7
Focal. Items 1–3 measurement, 4–6 loss costing, 7–9 recovery valuation. 7-point; 1 = not at all … 7 = to a very great extent</t>
      </text>
    </comment>
    <comment ref="L1" authorId="0" shapeId="0">
      <text>
        <t>Circular accounting capability item 2
Type: integer
Allowed: 1–7
Focal. Items 1–3 measurement, 4–6 loss costing, 7–9 recovery valuation. 7-point; 1 = not at all … 7 = to a very great extent</t>
      </text>
    </comment>
    <comment ref="M1" authorId="0" shapeId="0">
      <text>
        <t>Circular accounting capability item 3
Type: integer
Allowed: 1–7
Focal. Items 1–3 measurement, 4–6 loss costing, 7–9 recovery valuation. 7-point; 1 = not at all … 7 = to a very great extent</t>
      </text>
    </comment>
    <comment ref="N1" authorId="0" shapeId="0">
      <text>
        <t>Circular accounting capability item 4
Type: integer
Allowed: 1–7
Focal. Items 1–3 measurement, 4–6 loss costing, 7–9 recovery valuation. 7-point; 1 = not at all … 7 = to a very great extent</t>
      </text>
    </comment>
    <comment ref="O1" authorId="0" shapeId="0">
      <text>
        <t>Circular accounting capability item 5
Type: integer
Allowed: 1–7
Focal. Items 1–3 measurement, 4–6 loss costing, 7–9 recovery valuation. 7-point; 1 = not at all … 7 = to a very great extent</t>
      </text>
    </comment>
    <comment ref="P1" authorId="0" shapeId="0">
      <text>
        <t>Circular accounting capability item 6
Type: integer
Allowed: 1–7
Focal. Items 1–3 measurement, 4–6 loss costing, 7–9 recovery valuation. 7-point; 1 = not at all … 7 = to a very great extent</t>
      </text>
    </comment>
    <comment ref="Q1" authorId="0" shapeId="0">
      <text>
        <t>Circular accounting capability item 7
Type: integer
Allowed: 1–7
Focal. Items 1–3 measurement, 4–6 loss costing, 7–9 recovery valuation. 7-point; 1 = not at all … 7 = to a very great extent</t>
      </text>
    </comment>
    <comment ref="R1" authorId="0" shapeId="0">
      <text>
        <t>Circular accounting capability item 8
Type: integer
Allowed: 1–7
Focal. Items 1–3 measurement, 4–6 loss costing, 7–9 recovery valuation. 7-point; 1 = not at all … 7 = to a very great extent</t>
      </text>
    </comment>
    <comment ref="S1" authorId="0" shapeId="0">
      <text>
        <t>Circular accounting capability item 9
Type: integer
Allowed: 1–7
Focal. Items 1–3 measurement, 4–6 loss costing, 7–9 recovery valuation. 7-point; 1 = not at all … 7 = to a very great extent</t>
      </text>
    </comment>
    <comment ref="T1" authorId="0" shapeId="0">
      <text>
        <t>Circular information transparency item 1
Type: integer
Allowed: 1–7
Focal. 7-point; 1 = not at all … 7 = to a very great extent</t>
      </text>
    </comment>
    <comment ref="U1" authorId="0" shapeId="0">
      <text>
        <t>Circular information transparency item 2
Type: integer
Allowed: 1–7
Focal. 7-point; 1 = not at all … 7 = to a very great extent</t>
      </text>
    </comment>
    <comment ref="V1" authorId="0" shapeId="0">
      <text>
        <t>Circular information transparency item 3
Type: integer
Allowed: 1–7
Focal. 7-point; 1 = not at all … 7 = to a very great extent</t>
      </text>
    </comment>
    <comment ref="W1" authorId="0" shapeId="0">
      <text>
        <t>Circular information transparency item 4
Type: integer
Allowed: 1–7
Focal. 7-point; 1 = not at all … 7 = to a very great extent</t>
      </text>
    </comment>
    <comment ref="X1" authorId="0" shapeId="0">
      <text>
        <t>Circular information transparency item 5
Type: integer
Allowed: 1–7
Focal. 7-point; 1 = not at all … 7 = to a very great extent</t>
      </text>
    </comment>
    <comment ref="Y1" authorId="0" shapeId="0">
      <text>
        <t>Circular governance quality item 1
Type: integer
Allowed: 1–7
Focal — the moderator. 7-point; 1 = not at all … 7 = to a very great extent</t>
      </text>
    </comment>
    <comment ref="Z1" authorId="0" shapeId="0">
      <text>
        <t>Circular governance quality item 2
Type: integer
Allowed: 1–7
Focal — the moderator. 7-point; 1 = not at all … 7 = to a very great extent</t>
      </text>
    </comment>
    <comment ref="AA1" authorId="0" shapeId="0">
      <text>
        <t>Circular governance quality item 3
Type: integer
Allowed: 1–7
Focal — the moderator. 7-point; 1 = not at all … 7 = to a very great extent</t>
      </text>
    </comment>
    <comment ref="AB1" authorId="0" shapeId="0">
      <text>
        <t>Circular governance quality item 4
Type: integer
Allowed: 1–7
Focal — the moderator. 7-point; 1 = not at all … 7 = to a very great extent</t>
      </text>
    </comment>
    <comment ref="AC1" authorId="0" shapeId="0">
      <text>
        <t>Circular governance quality item 5
Type: integer
Allowed: 1–7
Focal — the moderator. 7-point; 1 = not at all … 7 = to a very great extent</t>
      </text>
    </comment>
    <comment ref="AD1" authorId="0" shapeId="0">
      <text>
        <t>Circular governance quality item 6
Type: integer
Allowed: 1–7
Focal — the moderator. 7-point; 1 = not at all … 7 = to a very great extent</t>
      </text>
    </comment>
    <comment ref="AE1" authorId="0" shapeId="0">
      <text>
        <t>Circular value-chain integration item 1
Type: integer
Allowed: 1–7
Focal — the focal endogenous construct. 7-point; 1 = not at all … 7 = to a very great extent</t>
      </text>
    </comment>
    <comment ref="AF1" authorId="0" shapeId="0">
      <text>
        <t>Circular value-chain integration item 2
Type: integer
Allowed: 1–7
Focal — the focal endogenous construct. 7-point; 1 = not at all … 7 = to a very great extent</t>
      </text>
    </comment>
    <comment ref="AG1" authorId="0" shapeId="0">
      <text>
        <t>Circular value-chain integration item 3
Type: integer
Allowed: 1–7
Focal — the focal endogenous construct. 7-point; 1 = not at all … 7 = to a very great extent</t>
      </text>
    </comment>
    <comment ref="AH1" authorId="0" shapeId="0">
      <text>
        <t>Circular value-chain integration item 4
Type: integer
Allowed: 1–7
Focal — the focal endogenous construct. 7-point; 1 = not at all … 7 = to a very great extent</t>
      </text>
    </comment>
    <comment ref="AI1" authorId="0" shapeId="0">
      <text>
        <t>Circular value-chain integration item 5
Type: integer
Allowed: 1–7
Focal — the focal endogenous construct. 7-point; 1 = not at all … 7 = to a very great extent</t>
      </text>
    </comment>
    <comment ref="AJ1" authorId="0" shapeId="0">
      <text>
        <t>Circular value-chain integration item 6
Type: integer
Allowed: 1–7
Focal — the focal endogenous construct. 7-point; 1 = not at all … 7 = to a very great extent</t>
      </text>
    </comment>
    <comment ref="AK1" authorId="0" shapeId="0">
      <text>
        <t>Circular value creation performance item 1
Type: integer
Allowed: 1–7
Focal. Items 1–4 economic, 5–8 environmental, 9–11 social. HIGHER = BETTER. 7-point change; 1 = decreased greatly, 4 = no change, 7 = increased greatly</t>
      </text>
    </comment>
    <comment ref="AL1" authorId="0" shapeId="0">
      <text>
        <t>Circular value creation performance item 2
Type: integer
Allowed: 1–7
Focal. Items 1–4 economic, 5–8 environmental, 9–11 social. HIGHER = BETTER. 7-point change; 1 = decreased greatly, 4 = no change, 7 = increased greatly</t>
      </text>
    </comment>
    <comment ref="AM1" authorId="0" shapeId="0">
      <text>
        <t>Circular value creation performance item 3
Type: integer
Allowed: 1–7
Focal. Items 1–4 economic, 5–8 environmental, 9–11 social. HIGHER = BETTER. 7-point change; 1 = decreased greatly, 4 = no change, 7 = increased greatly</t>
      </text>
    </comment>
    <comment ref="AN1" authorId="0" shapeId="0">
      <text>
        <t>Circular value creation performance item 4
Type: integer
Allowed: 1–7
Focal. Items 1–4 economic, 5–8 environmental, 9–11 social. HIGHER = BETTER. 7-point change; 1 = decreased greatly, 4 = no change, 7 = increased greatly</t>
      </text>
    </comment>
    <comment ref="AO1" authorId="0" shapeId="0">
      <text>
        <t>Circular value creation performance item 5
Type: integer
Allowed: 1–7
Focal. Items 1–4 economic, 5–8 environmental, 9–11 social. HIGHER = BETTER. 7-point change; 1 = decreased greatly, 4 = no change, 7 = increased greatly</t>
      </text>
    </comment>
    <comment ref="AP1" authorId="0" shapeId="0">
      <text>
        <t>Circular value creation performance item 6
Type: integer
Allowed: 1–7
Focal. Items 1–4 economic, 5–8 environmental, 9–11 social. HIGHER = BETTER. 7-point change; 1 = decreased greatly, 4 = no change, 7 = increased greatly</t>
      </text>
    </comment>
    <comment ref="AQ1" authorId="0" shapeId="0">
      <text>
        <t>Circular value creation performance item 7
Type: integer
Allowed: 1–7
Focal. Items 1–4 economic, 5–8 environmental, 9–11 social. HIGHER = BETTER. 7-point change; 1 = decreased greatly, 4 = no change, 7 = increased greatly</t>
      </text>
    </comment>
    <comment ref="AR1" authorId="0" shapeId="0">
      <text>
        <t>Circular value creation performance item 8
Type: integer
Allowed: 1–7
Focal. Items 1–4 economic, 5–8 environmental, 9–11 social. HIGHER = BETTER. 7-point change; 1 = decreased greatly, 4 = no change, 7 = increased greatly</t>
      </text>
    </comment>
    <comment ref="AS1" authorId="0" shapeId="0">
      <text>
        <t>Circular value creation performance item 9
Type: integer
Allowed: 1–7
Focal. Items 1–4 economic, 5–8 environmental, 9–11 social. HIGHER = BETTER. 7-point change; 1 = decreased greatly, 4 = no change, 7 = increased greatly</t>
      </text>
    </comment>
    <comment ref="AT1" authorId="0" shapeId="0">
      <text>
        <t>Circular value creation performance item 10
Type: integer
Allowed: 1–7
Focal. Items 1–4 economic, 5–8 environmental, 9–11 social. HIGHER = BETTER. 7-point change; 1 = decreased greatly, 4 = no change, 7 = increased greatly</t>
      </text>
    </comment>
    <comment ref="AU1" authorId="0" shapeId="0">
      <text>
        <t>Circular value creation performance item 11
Type: integer
Allowed: 1–7
Focal. Items 1–4 economic, 5–8 environmental, 9–11 social. HIGHER = BETTER. 7-point change; 1 = decreased greatly, 4 = no change, 7 = increased greatly</t>
      </text>
    </comment>
    <comment ref="AV1" authorId="0" shapeId="0">
      <text>
        <t>Digital traceability capability item 1
Type: integer
Allowed: 1–7
Control and rival explanation. Critical to the smart-production test. 7-point; 1 = not at all … 7 = to a very great extent</t>
      </text>
    </comment>
    <comment ref="AW1" authorId="0" shapeId="0">
      <text>
        <t>Digital traceability capability item 2
Type: integer
Allowed: 1–7
Control and rival explanation. Critical to the smart-production test. 7-point; 1 = not at all … 7 = to a very great extent</t>
      </text>
    </comment>
    <comment ref="AX1" authorId="0" shapeId="0">
      <text>
        <t>Digital traceability capability item 3
Type: integer
Allowed: 1–7
Control and rival explanation. Critical to the smart-production test. 7-point; 1 = not at all … 7 = to a very great extent</t>
      </text>
    </comment>
    <comment ref="AY1" authorId="0" shapeId="0">
      <text>
        <t>Institutional support item 1
Type: integer
Allowed: 1–7
Control. IS2 and IS3 are the double-barrelled items flagged in Section 5.5. 7-point; 1 = not at all … 7 = to a very great extent</t>
      </text>
    </comment>
    <comment ref="AZ1" authorId="0" shapeId="0">
      <text>
        <t>Institutional support item 2
Type: integer
Allowed: 1–7
Control. IS2 and IS3 are the double-barrelled items flagged in Section 5.5. 7-point; 1 = not at all … 7 = to a very great extent</t>
      </text>
    </comment>
    <comment ref="BA1" authorId="0" shapeId="0">
      <text>
        <t>Institutional support item 3
Type: integer
Allowed: 1–7
Control. IS2 and IS3 are the double-barrelled items flagged in Section 5.5. 7-point; 1 = not at all … 7 = to a very great extent</t>
      </text>
    </comment>
    <comment ref="BB1" authorId="0" shapeId="0">
      <text>
        <t>Marker (attitude toward the colour blue) item 1
Type: integer
Allowed: 1–7
Method-bias marker. Miller and Simmering (2023), verbatim. Excluded from the structural model. 7-point; 1 = not at all … 7 = to a very great extent</t>
      </text>
    </comment>
    <comment ref="BC1" authorId="0" shapeId="0">
      <text>
        <t>Marker (attitude toward the colour blue) item 2
Type: integer
Allowed: 1–7
Method-bias marker. Miller and Simmering (2023), verbatim. Excluded from the structural model. 7-point; 1 = not at all … 7 = to a very great extent</t>
      </text>
    </comment>
    <comment ref="BD1" authorId="0" shapeId="0">
      <text>
        <t>Marker (attitude toward the colour blue) item 3
Type: integer
Allowed: 1–7
Method-bias marker. Miller and Simmering (2023), verbatim. Excluded from the structural model. 7-point; 1 = not at all … 7 = to a very great extent</t>
      </text>
    </comment>
    <comment ref="BE1" authorId="0" shapeId="0">
      <text>
        <t>Global single-item measure of circular accounting capability
Type: integer
Allowed: 1–7
REQUIRED FOR REDUNDANCY ANALYSIS of the formative HOC. Cannot be added later. Leave blank if not fielded and declare the limitation.</t>
      </text>
    </comment>
    <comment ref="BF1" authorId="0" shapeId="0">
      <text>
        <t>Global single-item measure of circular value creation
Type: integer
Allowed: 1–7
REQUIRED FOR REDUNDANCY ANALYSIS of the formative HOC. Cannot be added later.</t>
      </text>
    </comment>
    <comment ref="BG1" authorId="0" shapeId="0">
      <text>
        <t>Persons engaged, incl. unpaid family labour
Type: integer
Allowed: &gt;=1
Control. Script derives SIZE_ln = log(1+n).</t>
      </text>
    </comment>
    <comment ref="BH1" authorId="0" shapeId="0">
      <text>
        <t>Years the enterprise has operated
Type: integer
Allowed: &gt;=0
Control. Script derives AGE_ln.</t>
      </text>
    </comment>
    <comment ref="BI1" authorId="0" shapeId="0">
      <text>
        <t>Tonnes handled last season
Type: decimal
Allowed: &gt;=0
Control. Script derives VOL_ln.</t>
      </text>
    </comment>
    <comment ref="BJ1" authorId="0" shapeId="0">
      <text>
        <t>Key informant education
Type: integer
Allowed: 1–6
Control. See 05_ValueLabels.</t>
      </text>
    </comment>
    <comment ref="BK1" authorId="0" shapeId="0">
      <text>
        <t>Producer-organisation / cooperative member
Type: integer
Allowed: 0/1
Control and MGA grouping variable.</t>
      </text>
    </comment>
    <comment ref="BL1" authorId="0" shapeId="0">
      <text>
        <t>Loss ratio from records: rejected or lost ÷ taken in
Type: decimal
Allowed: 0–1
Objective subsample only; blank otherwise.</t>
      </text>
    </comment>
    <comment ref="BM1" authorId="0" shapeId="0">
      <text>
        <t>By-product quantity sold last season (tonnes)
Type: decimal
Allowed: &gt;=0
Objective subsample only.</t>
      </text>
    </comment>
    <comment ref="BN1" authorId="0" shapeId="0">
      <text>
        <t>By-product value realised last season (currency)
Type: decimal
Allowed: &gt;=0
Objective subsample only.</t>
      </text>
    </comment>
    <comment ref="BO1" authorId="0" shapeId="0">
      <text>
        <t>Realised price ÷ district modal price
Type: decimal
Allowed: &gt;0
Objective subsample only.</t>
      </text>
    </comment>
    <comment ref="BP1" authorId="0" shapeId="0">
      <text>
        <t>Enumerator notes
Type: text
Allowed: 
Optional. Not analysed.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 customWidth="1" min="1" max="1"/>
    <col width="118" customWidth="1" min="2" max="2"/>
  </cols>
  <sheetData>
    <row r="1">
      <c r="B1" s="1" t="inlineStr">
        <is>
          <t>Data workbook — circular accounting capability study</t>
        </is>
      </c>
    </row>
    <row r="3" ht="15" customHeight="1">
      <c r="A3" s="2" t="inlineStr"/>
      <c r="B3" s="3" t="inlineStr"/>
    </row>
    <row r="4" ht="15" customHeight="1">
      <c r="A4" t="inlineStr"/>
      <c r="B4" s="4" t="inlineStr">
        <is>
          <t>HOW TO USE THIS WORKBOOK</t>
        </is>
      </c>
    </row>
    <row r="5" ht="15" customHeight="1">
      <c r="A5" s="2" t="inlineStr"/>
      <c r="B5" s="3" t="inlineStr"/>
    </row>
    <row r="6" ht="26" customHeight="1">
      <c r="A6" s="2" t="inlineStr">
        <is>
          <t>1</t>
        </is>
      </c>
      <c r="B6" s="3" t="inlineStr">
        <is>
          <t>Read 01_SampleSize first. It tells you what your achieved n allows you to claim, and it flags a power problem in the manuscript's current Approach A that you should fix before submission.</t>
        </is>
      </c>
    </row>
    <row r="7" ht="26" customHeight="1">
      <c r="A7" s="2" t="inlineStr">
        <is>
          <t>2</t>
        </is>
      </c>
      <c r="B7" s="3" t="inlineStr">
        <is>
          <t>Enter data on sheet 04_DATA only. One row per respondent. Do not insert, delete or reorder columns — the R script in analysis_seminr.R matches these names exactly.</t>
        </is>
      </c>
    </row>
    <row r="8" ht="26" customHeight="1">
      <c r="A8" s="2" t="inlineStr">
        <is>
          <t>3</t>
        </is>
      </c>
      <c r="B8" s="3" t="inlineStr">
        <is>
          <t>Column meanings are in 02_Codebook. Item wordings are in 03_Items. Categorical codes are in 05_ValueLabels.</t>
        </is>
      </c>
    </row>
    <row r="9" ht="26" customHeight="1">
      <c r="A9" s="2" t="inlineStr">
        <is>
          <t>4</t>
        </is>
      </c>
      <c r="B9" s="3" t="inlineStr">
        <is>
          <t>Track fieldwork progress in 06_SampleTracker. The response accounting it produces is required for Table 9 of the manuscript — reviewers will ask for it.</t>
        </is>
      </c>
    </row>
    <row r="10" ht="26" customHeight="1">
      <c r="A10" s="2" t="inlineStr">
        <is>
          <t>5</t>
        </is>
      </c>
      <c r="B10" s="3" t="inlineStr">
        <is>
          <t>07_QualityChecks runs live per-row diagnostics as you enter data. Fix problems during fieldwork, not afterwards.</t>
        </is>
      </c>
    </row>
    <row r="11" ht="15" customHeight="1">
      <c r="A11" s="2" t="inlineStr">
        <is>
          <t>6</t>
        </is>
      </c>
      <c r="B11" s="3" t="inlineStr">
        <is>
          <t>When complete, save 04_DATA as data.csv (UTF-8) in the same folder as analysis_seminr.R and run it.</t>
        </is>
      </c>
    </row>
    <row r="12" ht="15" customHeight="1">
      <c r="A12" s="2" t="inlineStr"/>
      <c r="B12" s="3" t="inlineStr"/>
    </row>
    <row r="13" ht="15" customHeight="1">
      <c r="A13" t="inlineStr"/>
      <c r="B13" s="4" t="inlineStr">
        <is>
          <t>CRITICAL — CHECK THESE BEFORE YOU ANALYSE ANYTHING</t>
        </is>
      </c>
    </row>
    <row r="14" ht="15" customHeight="1">
      <c r="A14" s="2" t="inlineStr"/>
      <c r="B14" s="3" t="inlineStr"/>
    </row>
    <row r="15" ht="52" customHeight="1">
      <c r="A15" s="5" t="inlineStr">
        <is>
          <t>a</t>
        </is>
      </c>
      <c r="B15" s="3" t="inlineStr">
        <is>
          <t>CAC_GLOBAL and CVCP_GLOBAL are single-item global measures of the two formative higher-order constructs. Redundancy analysis is impossible without them and CANNOT be done after the fact. If you did not field them, leave the columns empty and report the failure to establish convergent validity of the formative constructs as a limitation. Do not omit it silently.</t>
        </is>
      </c>
    </row>
    <row r="16" ht="39" customHeight="1">
      <c r="A16" s="5" t="inlineStr">
        <is>
          <t>b</t>
        </is>
      </c>
      <c r="B16" s="3" t="inlineStr">
        <is>
          <t>Check CGQ dispersion the moment you have the data (07_QualityChecks computes it). The entire design rests on governance quality varying widely within one network and one regulatory environment. If the SD is small, the interaction cannot be detected, and you must say so BEFORE reporting any null.</t>
        </is>
      </c>
    </row>
    <row r="17" ht="26" customHeight="1">
      <c r="A17" s="5" t="inlineStr">
        <is>
          <t>c</t>
        </is>
      </c>
      <c r="B17" s="3" t="inlineStr">
        <is>
          <t>All CVCP items must be worded so that HIGHER = BETTER. The loss items should read "reduction in…". If any was fielded as "quantity of waste", reverse-code it and record that you did.</t>
        </is>
      </c>
    </row>
    <row r="18" ht="26" customHeight="1">
      <c r="A18" s="5" t="inlineStr">
        <is>
          <t>d</t>
        </is>
      </c>
      <c r="B18" s="3" t="inlineStr">
        <is>
          <t>IS2 and IS3 are the double-barrelled items your Section 5.5 flags as below threshold and never revised. If they were fielded as written, report their psychometrics rather than quietly dropping them.</t>
        </is>
      </c>
    </row>
    <row r="19" ht="26" customHeight="1">
      <c r="A19" s="5" t="inlineStr">
        <is>
          <t>e</t>
        </is>
      </c>
      <c r="B19" s="3" t="inlineStr">
        <is>
          <t>MK1–MK3 must be Miller and Simmering's (2023) attitude-toward-blue items reproduced verbatim. A paraphrased marker forfeits the warrant for using a validated one.</t>
        </is>
      </c>
    </row>
    <row r="20" ht="15" customHeight="1">
      <c r="A20" s="2" t="inlineStr"/>
      <c r="B20" s="3" t="inlineStr"/>
    </row>
    <row r="21" ht="15" customHeight="1">
      <c r="A21" t="inlineStr"/>
      <c r="B21" s="4" t="inlineStr">
        <is>
          <t>WHAT NOT TO DO</t>
        </is>
      </c>
    </row>
    <row r="22" ht="15" customHeight="1">
      <c r="A22" s="2" t="inlineStr"/>
      <c r="B22" s="3" t="inlineStr"/>
    </row>
    <row r="23" ht="39" customHeight="1">
      <c r="A23" s="6" t="inlineStr">
        <is>
          <t>✗</t>
        </is>
      </c>
      <c r="B23" s="3" t="inlineStr">
        <is>
          <t>Do not delete cases flagged as long-string, fast-completion or multivariate outliers. These are flag-and-test, not delete. Deleting them without reporting the sensitivity analysis is the most common source of an undisclosed specification search in this literature.</t>
        </is>
      </c>
    </row>
    <row r="24" ht="26" customHeight="1">
      <c r="A24" s="6" t="inlineStr">
        <is>
          <t>✗</t>
        </is>
      </c>
      <c r="B24" s="3" t="inlineStr">
        <is>
          <t>Do not add a CAC → CVCP path "to see if it is significant". H9's claim is that the effect is entirely indirect. If you estimate it you must report it, and the theoretical claim changes.</t>
        </is>
      </c>
    </row>
    <row r="25" ht="15" customHeight="1">
      <c r="A25" s="6" t="inlineStr">
        <is>
          <t>✗</t>
        </is>
      </c>
      <c r="B25" s="3" t="inlineStr">
        <is>
          <t>Do not run Harman's single-factor test. Your Section 6 pre-specifies that it is not used.</t>
        </is>
      </c>
    </row>
    <row r="26" ht="26" customHeight="1">
      <c r="A26" s="6" t="inlineStr">
        <is>
          <t>✗</t>
        </is>
      </c>
      <c r="B26" s="3" t="inlineStr">
        <is>
          <t>Do not run the producer-versus-processor multi-group comparison. With ~70 processors it needs β ≥ 0.30 to be detectable, and your manuscript already states it will not be conducted and why.</t>
        </is>
      </c>
    </row>
    <row r="27" ht="26" customHeight="1">
      <c r="A27" s="6" t="inlineStr">
        <is>
          <t>✗</t>
        </is>
      </c>
      <c r="B27" s="3" t="inlineStr">
        <is>
          <t>Do not judge the interaction effect size against Cohen's 0.02/0.15/0.35. Use the interaction-specific benchmarks 0.005/0.01/0.025, as Table 8 pre-specifies.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2" customWidth="1" min="1" max="1"/>
    <col width="30" customWidth="1" min="2" max="2"/>
    <col width="32" customWidth="1" min="3" max="3"/>
    <col width="22" customWidth="1" min="4" max="4"/>
    <col width="16" customWidth="1" min="5" max="5"/>
    <col width="34" customWidth="1" min="6" max="6"/>
  </cols>
  <sheetData>
    <row r="1">
      <c r="A1" s="1" t="inlineStr">
        <is>
          <t>Required number of respondents</t>
        </is>
      </c>
    </row>
    <row r="2" ht="30" customHeight="1">
      <c r="A2" s="7" t="inlineStr">
        <is>
          <t>Figures recomputed from the non-central F distribution; they reproduce Table 6 of the manuscript exactly (Approach A f²=0.05 at power .90 → 434; minimum 346≈350 at power .80; Approach B β=0.11 → 511).</t>
        </is>
      </c>
    </row>
    <row r="4">
      <c r="A4" s="8" t="inlineStr">
        <is>
          <t>A. The design target (unchanged from the manuscript)</t>
        </is>
      </c>
    </row>
    <row r="5" ht="30" customHeight="1">
      <c r="A5" s="9" t="inlineStr">
        <is>
          <t>Approach</t>
        </is>
      </c>
      <c r="B5" s="9" t="inlineStr">
        <is>
          <t>Basis</t>
        </is>
      </c>
      <c r="C5" s="9" t="inlineStr">
        <is>
          <t>Requirement</t>
        </is>
      </c>
      <c r="D5" s="9" t="inlineStr">
        <is>
          <t>Status</t>
        </is>
      </c>
      <c r="E5" s="9" t="inlineStr"/>
      <c r="F5" s="9" t="inlineStr"/>
    </row>
    <row r="6">
      <c r="A6" s="10" t="inlineStr">
        <is>
          <t>A. A-priori power</t>
        </is>
      </c>
      <c r="B6" s="11" t="inlineStr">
        <is>
          <t>F-test for R² deviation from zero; 11 predictors on CVCI; f²=0.05; power .90; α=.05</t>
        </is>
      </c>
      <c r="C6" s="10" t="n">
        <v>434</v>
      </c>
      <c r="D6" s="10" t="inlineStr">
        <is>
          <t>satisfied at n≥434</t>
        </is>
      </c>
      <c r="E6" s="10" t="inlineStr"/>
      <c r="F6" s="10" t="inlineStr"/>
    </row>
    <row r="7">
      <c r="A7" s="10" t="inlineStr">
        <is>
          <t>B. Inverse square root</t>
        </is>
      </c>
      <c r="B7" s="11" t="inlineStr">
        <is>
          <t>Kock and Hadaya (2018); smallest expected path β=0.11; power .80</t>
        </is>
      </c>
      <c r="C7" s="10" t="n">
        <v>511</v>
      </c>
      <c r="D7" s="10" t="inlineStr">
        <is>
          <t>BINDING</t>
        </is>
      </c>
      <c r="E7" s="10" t="inlineStr"/>
      <c r="F7" s="10" t="inlineStr"/>
    </row>
    <row r="8">
      <c r="A8" s="10" t="inlineStr">
        <is>
          <t>C. Model complexity</t>
        </is>
      </c>
      <c r="B8" s="11" t="inlineStr">
        <is>
          <t>≈96 free parameters at 5:1 for the covariance-based robustness check</t>
        </is>
      </c>
      <c r="C8" s="10" t="n">
        <v>480</v>
      </c>
      <c r="D8" s="10" t="inlineStr">
        <is>
          <t>satisfied at n≥480</t>
        </is>
      </c>
      <c r="E8" s="10" t="inlineStr"/>
      <c r="F8" s="10" t="inlineStr"/>
    </row>
    <row r="9">
      <c r="A9" s="10" t="inlineStr">
        <is>
          <t>D. Multi-group analysis</t>
        </is>
      </c>
      <c r="B9" s="11" t="inlineStr">
        <is>
          <t>Two groups each estimable at β≈0.15–0.20</t>
        </is>
      </c>
      <c r="C9" s="10" t="inlineStr">
        <is>
          <t>490–550</t>
        </is>
      </c>
      <c r="D9" s="10" t="inlineStr">
        <is>
          <t>satisfied at n≥490</t>
        </is>
      </c>
      <c r="E9" s="10" t="inlineStr"/>
      <c r="F9" s="10" t="inlineStr"/>
    </row>
    <row r="10">
      <c r="A10" s="12" t="inlineStr">
        <is>
          <t>ADOPTED TARGET</t>
        </is>
      </c>
      <c r="B10" s="13" t="inlineStr"/>
      <c r="C10" s="12" t="n">
        <v>520</v>
      </c>
      <c r="D10" s="12" t="inlineStr"/>
      <c r="E10" s="10" t="inlineStr"/>
      <c r="F10" s="10" t="inlineStr"/>
    </row>
    <row r="11">
      <c r="A11" s="10" t="inlineStr">
        <is>
          <t>Minimum acceptable</t>
        </is>
      </c>
      <c r="B11" s="11" t="inlineStr">
        <is>
          <t>Approach A at power .80 (computed: 346)</t>
        </is>
      </c>
      <c r="C11" s="10" t="n">
        <v>350</v>
      </c>
      <c r="D11" s="10" t="inlineStr"/>
      <c r="E11" s="10" t="inlineStr"/>
      <c r="F11" s="10" t="inlineStr"/>
    </row>
    <row r="12">
      <c r="A12" s="10" t="inlineStr">
        <is>
          <t>Recommended</t>
        </is>
      </c>
      <c r="B12" s="11" t="inlineStr"/>
      <c r="C12" s="10" t="n">
        <v>450</v>
      </c>
      <c r="D12" s="10" t="inlineStr"/>
      <c r="E12" s="10" t="inlineStr"/>
      <c r="F12" s="10" t="inlineStr"/>
    </row>
    <row r="15">
      <c r="A15" s="8" t="inlineStr">
        <is>
          <t>B. What your achieved n actually buys you</t>
        </is>
      </c>
    </row>
    <row r="16">
      <c r="A16" s="14" t="inlineStr">
        <is>
          <t>Find your row. This is the honest basis for what you can claim.</t>
        </is>
      </c>
    </row>
    <row r="17" ht="30" customHeight="1">
      <c r="A17" s="9" t="inlineStr">
        <is>
          <t>Achieved n</t>
        </is>
      </c>
      <c r="B17" s="9" t="inlineStr">
        <is>
          <t>Smallest detectable path β (power .80)</t>
        </is>
      </c>
      <c r="C17" s="9" t="inlineStr">
        <is>
          <t>Smallest detectable interaction f² (power .80)</t>
        </is>
      </c>
      <c r="D17" s="9" t="inlineStr">
        <is>
          <t>Approach A power at f²=0.05</t>
        </is>
      </c>
      <c r="E17" s="9" t="inlineStr">
        <is>
          <t>MGA viable?</t>
        </is>
      </c>
      <c r="F17" s="9" t="inlineStr">
        <is>
          <t>Verdict</t>
        </is>
      </c>
    </row>
    <row r="18">
      <c r="A18" s="15" t="n">
        <v>200</v>
      </c>
      <c r="B18" s="16" t="n">
        <v>0.176</v>
      </c>
      <c r="C18" s="17" t="n">
        <v>0.0398</v>
      </c>
      <c r="D18" s="16" t="n">
        <v>0.497</v>
      </c>
      <c r="E18" s="15" t="inlineStr">
        <is>
          <t>no</t>
        </is>
      </c>
      <c r="F18" s="18" t="inlineStr">
        <is>
          <t>Insufficient. Below the stated minimum.</t>
        </is>
      </c>
    </row>
    <row r="19">
      <c r="A19" s="15" t="n">
        <v>250</v>
      </c>
      <c r="B19" s="16" t="n">
        <v>0.157</v>
      </c>
      <c r="C19" s="17" t="n">
        <v>0.0318</v>
      </c>
      <c r="D19" s="16" t="n">
        <v>0.62</v>
      </c>
      <c r="E19" s="15" t="inlineStr">
        <is>
          <t>no</t>
        </is>
      </c>
      <c r="F19" s="18" t="inlineStr">
        <is>
          <t>Insufficient.</t>
        </is>
      </c>
    </row>
    <row r="20">
      <c r="A20" s="15" t="n">
        <v>300</v>
      </c>
      <c r="B20" s="16" t="n">
        <v>0.144</v>
      </c>
      <c r="C20" s="17" t="n">
        <v>0.0265</v>
      </c>
      <c r="D20" s="16" t="n">
        <v>0.723</v>
      </c>
      <c r="E20" s="15" t="inlineStr">
        <is>
          <t>no</t>
        </is>
      </c>
      <c r="F20" s="18" t="inlineStr">
        <is>
          <t>Below minimum. Interaction test weak.</t>
        </is>
      </c>
    </row>
    <row r="21">
      <c r="A21" s="19" t="n">
        <v>350</v>
      </c>
      <c r="B21" s="20" t="n">
        <v>0.133</v>
      </c>
      <c r="C21" s="21" t="n">
        <v>0.0226</v>
      </c>
      <c r="D21" s="20" t="n">
        <v>0.806</v>
      </c>
      <c r="E21" s="19" t="inlineStr">
        <is>
          <t>yes</t>
        </is>
      </c>
      <c r="F21" s="22" t="inlineStr">
        <is>
          <t>Minimum acceptable. State the limitation.</t>
        </is>
      </c>
    </row>
    <row r="22">
      <c r="A22" s="19" t="n">
        <v>400</v>
      </c>
      <c r="B22" s="20" t="n">
        <v>0.124</v>
      </c>
      <c r="C22" s="21" t="n">
        <v>0.0198</v>
      </c>
      <c r="D22" s="20" t="n">
        <v>0.868</v>
      </c>
      <c r="E22" s="19" t="inlineStr">
        <is>
          <t>yes</t>
        </is>
      </c>
      <c r="F22" s="22" t="inlineStr">
        <is>
          <t>Acceptable.</t>
        </is>
      </c>
    </row>
    <row r="23">
      <c r="A23" s="19" t="n">
        <v>450</v>
      </c>
      <c r="B23" s="20" t="n">
        <v>0.117</v>
      </c>
      <c r="C23" s="21" t="n">
        <v>0.0175</v>
      </c>
      <c r="D23" s="20" t="n">
        <v>0.913</v>
      </c>
      <c r="E23" s="19" t="inlineStr">
        <is>
          <t>yes</t>
        </is>
      </c>
      <c r="F23" s="22" t="inlineStr">
        <is>
          <t>Recommended level reached.</t>
        </is>
      </c>
    </row>
    <row r="24">
      <c r="A24" s="19" t="n">
        <v>480</v>
      </c>
      <c r="B24" s="20" t="n">
        <v>0.113</v>
      </c>
      <c r="C24" s="21" t="n">
        <v>0.0165</v>
      </c>
      <c r="D24" s="20" t="n">
        <v>0.9330000000000001</v>
      </c>
      <c r="E24" s="19" t="inlineStr">
        <is>
          <t>yes</t>
        </is>
      </c>
      <c r="F24" s="22" t="inlineStr">
        <is>
          <t>Approach C satisfied.</t>
        </is>
      </c>
    </row>
    <row r="25">
      <c r="A25" s="23" t="n">
        <v>511</v>
      </c>
      <c r="B25" s="24" t="n">
        <v>0.11</v>
      </c>
      <c r="C25" s="25" t="n">
        <v>0.0155</v>
      </c>
      <c r="D25" s="24" t="n">
        <v>0.949</v>
      </c>
      <c r="E25" s="23" t="inlineStr">
        <is>
          <t>yes</t>
        </is>
      </c>
      <c r="F25" s="26" t="inlineStr">
        <is>
          <t>Binding Approach B satisfied.</t>
        </is>
      </c>
    </row>
    <row r="26">
      <c r="A26" s="27" t="n">
        <v>520</v>
      </c>
      <c r="B26" s="28" t="n">
        <v>0.109</v>
      </c>
      <c r="C26" s="29" t="n">
        <v>0.0152</v>
      </c>
      <c r="D26" s="28" t="n">
        <v>0.953</v>
      </c>
      <c r="E26" s="27" t="inlineStr">
        <is>
          <t>yes</t>
        </is>
      </c>
      <c r="F26" s="30" t="inlineStr">
        <is>
          <t>DESIGN TARGET MET.</t>
        </is>
      </c>
    </row>
    <row r="27">
      <c r="A27" s="23" t="n">
        <v>600</v>
      </c>
      <c r="B27" s="24" t="n">
        <v>0.101</v>
      </c>
      <c r="C27" s="25" t="n">
        <v>0.0132</v>
      </c>
      <c r="D27" s="24" t="n">
        <v>0.978</v>
      </c>
      <c r="E27" s="23" t="inlineStr">
        <is>
          <t>yes</t>
        </is>
      </c>
      <c r="F27" s="26" t="inlineStr">
        <is>
          <t>Comfortable.</t>
        </is>
      </c>
    </row>
    <row r="28">
      <c r="A28" s="23" t="n">
        <v>700</v>
      </c>
      <c r="B28" s="24" t="n">
        <v>0.094</v>
      </c>
      <c r="C28" s="25" t="n">
        <v>0.0112</v>
      </c>
      <c r="D28" s="24" t="n">
        <v>0.992</v>
      </c>
      <c r="E28" s="23" t="inlineStr">
        <is>
          <t>yes</t>
        </is>
      </c>
      <c r="F28" s="26" t="inlineStr">
        <is>
          <t>Comfortable; medium interaction detectable.</t>
        </is>
      </c>
    </row>
    <row r="31">
      <c r="A31" s="31" t="inlineStr">
        <is>
          <t>C. A power problem in the manuscript you should fix</t>
        </is>
      </c>
    </row>
    <row r="32" ht="62" customHeight="1">
      <c r="A32" s="3" t="inlineStr">
        <is>
          <t>Your Section 5.4 argues, correctly, that "the binding quantity is the interaction, not the largest path" and that "planning against a medium main effect would under-power the central test". Approach A then plans against f²=0.05 on the overall R² of CVCI — which is a MAIN-EFFECT quantity. Judged against the interaction-specific benchmarks your own Table 8 pre-specifies (0.005 small / 0.01 medium / 0.025 large), the design target of 520 gives power .95 for a LARGE interaction but only .62 for a MEDIUM one and .36 for a SMALL one. The argument is right; the number does not follow it through. A reviewer who checks will notice.</t>
        </is>
      </c>
    </row>
    <row r="34" ht="30" customHeight="1">
      <c r="A34" s="9" t="inlineStr">
        <is>
          <t>Achieved n</t>
        </is>
      </c>
      <c r="B34" s="9" t="inlineStr">
        <is>
          <t>Power at f²=0.005 (small)</t>
        </is>
      </c>
      <c r="C34" s="9" t="inlineStr">
        <is>
          <t>Power at f²=0.010 (medium)</t>
        </is>
      </c>
      <c r="D34" s="9" t="inlineStr">
        <is>
          <t>Power at f²=0.015</t>
        </is>
      </c>
      <c r="E34" s="9" t="inlineStr">
        <is>
          <t>Power at f²=0.025 (large)</t>
        </is>
      </c>
      <c r="F34" s="9" t="inlineStr">
        <is>
          <t>Smallest f² at power .80</t>
        </is>
      </c>
    </row>
    <row r="35">
      <c r="A35" s="32" t="n">
        <v>350</v>
      </c>
      <c r="B35" s="33" t="n">
        <v>0.261</v>
      </c>
      <c r="C35" s="33" t="n">
        <v>0.463</v>
      </c>
      <c r="D35" s="34" t="n">
        <v>0.627</v>
      </c>
      <c r="E35" s="35" t="n">
        <v>0.839</v>
      </c>
      <c r="F35" s="36" t="n">
        <v>0.0226</v>
      </c>
    </row>
    <row r="36">
      <c r="A36" s="32" t="n">
        <v>400</v>
      </c>
      <c r="B36" s="33" t="n">
        <v>0.292</v>
      </c>
      <c r="C36" s="33" t="n">
        <v>0.514</v>
      </c>
      <c r="D36" s="34" t="n">
        <v>0.6860000000000001</v>
      </c>
      <c r="E36" s="35" t="n">
        <v>0.884</v>
      </c>
      <c r="F36" s="36" t="n">
        <v>0.0198</v>
      </c>
    </row>
    <row r="37">
      <c r="A37" s="32" t="n">
        <v>450</v>
      </c>
      <c r="B37" s="33" t="n">
        <v>0.322</v>
      </c>
      <c r="C37" s="33" t="n">
        <v>0.5620000000000001</v>
      </c>
      <c r="D37" s="34" t="n">
        <v>0.736</v>
      </c>
      <c r="E37" s="35" t="n">
        <v>0.917</v>
      </c>
      <c r="F37" s="36" t="n">
        <v>0.0175</v>
      </c>
    </row>
    <row r="38">
      <c r="A38" s="32" t="n">
        <v>480</v>
      </c>
      <c r="B38" s="33" t="n">
        <v>0.34</v>
      </c>
      <c r="C38" s="33" t="n">
        <v>0.59</v>
      </c>
      <c r="D38" s="34" t="n">
        <v>0.764</v>
      </c>
      <c r="E38" s="35" t="n">
        <v>0.9330000000000001</v>
      </c>
      <c r="F38" s="36" t="n">
        <v>0.0165</v>
      </c>
    </row>
    <row r="39">
      <c r="A39" s="32" t="n">
        <v>511</v>
      </c>
      <c r="B39" s="33" t="n">
        <v>0.358</v>
      </c>
      <c r="C39" s="33" t="n">
        <v>0.617</v>
      </c>
      <c r="D39" s="34" t="n">
        <v>0.789</v>
      </c>
      <c r="E39" s="35" t="n">
        <v>0.946</v>
      </c>
      <c r="F39" s="36" t="n">
        <v>0.0155</v>
      </c>
    </row>
    <row r="40">
      <c r="A40" s="37" t="n">
        <v>520</v>
      </c>
      <c r="B40" s="38" t="n">
        <v>0.363</v>
      </c>
      <c r="C40" s="38" t="n">
        <v>0.624</v>
      </c>
      <c r="D40" s="39" t="n">
        <v>0.796</v>
      </c>
      <c r="E40" s="40" t="n">
        <v>0.949</v>
      </c>
      <c r="F40" s="41" t="n">
        <v>0.0152</v>
      </c>
    </row>
    <row r="41">
      <c r="A41" s="32" t="n">
        <v>600</v>
      </c>
      <c r="B41" s="33" t="n">
        <v>0.409</v>
      </c>
      <c r="C41" s="33" t="n">
        <v>0.6860000000000001</v>
      </c>
      <c r="D41" s="35" t="n">
        <v>0.85</v>
      </c>
      <c r="E41" s="35" t="n">
        <v>0.972</v>
      </c>
      <c r="F41" s="36" t="n">
        <v>0.0132</v>
      </c>
    </row>
    <row r="43">
      <c r="A43" s="42" t="inlineStr">
        <is>
          <t>The fix — add this sentence to Section 5.4, and honour it in Section 7</t>
        </is>
      </c>
    </row>
    <row r="44" ht="90" customHeight="1">
      <c r="A44" s="3" t="inlineStr">
        <is>
          <t>"Because the interaction is the binding quantity, we additionally report the minimum detectable interaction effect size. At the achieved sample of n = [___], the design attains power .80 for an interaction f² of [___] or larger, judged against the interaction-specific benchmarks of 0.005, 0.010 and 0.025. A true interaction below that value would not reliably be detected, and a null result is therefore interpreted accordingly."
This costs you two sentences and converts a vulnerability into evidence of methodological care. If the interaction turns out null, it is also what prevents the null being over-read as evidence of absence.</t>
        </is>
      </c>
    </row>
  </sheetData>
  <mergeCells count="3">
    <mergeCell ref="A2:F2"/>
    <mergeCell ref="A44:F44"/>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10" customWidth="1" min="4" max="4"/>
    <col width="14" customWidth="1" min="5" max="5"/>
    <col width="74" customWidth="1" min="6" max="6"/>
  </cols>
  <sheetData>
    <row r="1">
      <c r="A1" s="43" t="inlineStr">
        <is>
          <t>Codebook — 68 columns, in the exact order required by analysis_seminr.R</t>
        </is>
      </c>
    </row>
    <row r="3" ht="30" customHeight="1">
      <c r="A3" s="9" t="inlineStr">
        <is>
          <t>#</t>
        </is>
      </c>
      <c r="B3" s="9" t="inlineStr">
        <is>
          <t>Column name</t>
        </is>
      </c>
      <c r="C3" s="9" t="inlineStr">
        <is>
          <t>Label</t>
        </is>
      </c>
      <c r="D3" s="9" t="inlineStr">
        <is>
          <t>Type</t>
        </is>
      </c>
      <c r="E3" s="9" t="inlineStr">
        <is>
          <t>Allowed values</t>
        </is>
      </c>
      <c r="F3" s="9" t="inlineStr">
        <is>
          <t>Notes</t>
        </is>
      </c>
    </row>
    <row r="4">
      <c r="A4" s="44" t="n">
        <v>1</v>
      </c>
      <c r="B4" s="44" t="inlineStr">
        <is>
          <t>ID</t>
        </is>
      </c>
      <c r="C4" s="45" t="inlineStr">
        <is>
          <t>Respondent identifier</t>
        </is>
      </c>
      <c r="D4" s="44" t="inlineStr">
        <is>
          <t>text</t>
        </is>
      </c>
      <c r="E4" s="44" t="inlineStr">
        <is>
          <t>unique</t>
        </is>
      </c>
      <c r="F4" s="45" t="inlineStr">
        <is>
          <t>Required. Any unique code.</t>
        </is>
      </c>
    </row>
    <row r="5">
      <c r="A5" s="44" t="n">
        <v>2</v>
      </c>
      <c r="B5" s="44" t="inlineStr">
        <is>
          <t>DATE</t>
        </is>
      </c>
      <c r="C5" s="45" t="inlineStr">
        <is>
          <t>Date of interview</t>
        </is>
      </c>
      <c r="D5" s="44" t="inlineStr">
        <is>
          <t>date</t>
        </is>
      </c>
      <c r="E5" s="44" t="inlineStr">
        <is>
          <t>yyyy-mm-dd</t>
        </is>
      </c>
      <c r="F5" s="45" t="inlineStr">
        <is>
          <t>Required.</t>
        </is>
      </c>
    </row>
    <row r="6">
      <c r="A6" s="44" t="n">
        <v>3</v>
      </c>
      <c r="B6" s="44" t="inlineStr">
        <is>
          <t>ENUM</t>
        </is>
      </c>
      <c r="C6" s="45" t="inlineStr">
        <is>
          <t>Enumerator identifier</t>
        </is>
      </c>
      <c r="D6" s="44" t="inlineStr">
        <is>
          <t>text</t>
        </is>
      </c>
      <c r="E6" s="44" t="inlineStr"/>
      <c r="F6" s="45" t="inlineStr">
        <is>
          <t>Required — needed for the enumerator-effects robustness check.</t>
        </is>
      </c>
    </row>
    <row r="7">
      <c r="A7" s="44" t="n">
        <v>4</v>
      </c>
      <c r="B7" s="44" t="inlineStr">
        <is>
          <t>DUR_min</t>
        </is>
      </c>
      <c r="C7" s="45" t="inlineStr">
        <is>
          <t>Interview duration in minutes</t>
        </is>
      </c>
      <c r="D7" s="44" t="inlineStr">
        <is>
          <t>integer</t>
        </is>
      </c>
      <c r="E7" s="44" t="inlineStr">
        <is>
          <t>&gt;0</t>
        </is>
      </c>
      <c r="F7" s="45" t="inlineStr">
        <is>
          <t>Required — needed for the fast-completion flag.</t>
        </is>
      </c>
    </row>
    <row r="8">
      <c r="A8" s="44" t="n">
        <v>5</v>
      </c>
      <c r="B8" s="44" t="inlineStr">
        <is>
          <t>STRATUM</t>
        </is>
      </c>
      <c r="C8" s="45" t="inlineStr">
        <is>
          <t>Sampling stratum</t>
        </is>
      </c>
      <c r="D8" s="44" t="inlineStr">
        <is>
          <t>integer</t>
        </is>
      </c>
      <c r="E8" s="44" t="inlineStr">
        <is>
          <t>1–6</t>
        </is>
      </c>
      <c r="F8" s="45" t="inlineStr">
        <is>
          <t>See 05_ValueLabels. Required for Table 9 response accounting.</t>
        </is>
      </c>
    </row>
    <row r="9">
      <c r="A9" s="44" t="n">
        <v>6</v>
      </c>
      <c r="B9" s="44" t="inlineStr">
        <is>
          <t>TIER</t>
        </is>
      </c>
      <c r="C9" s="45" t="inlineStr">
        <is>
          <t>Network position</t>
        </is>
      </c>
      <c r="D9" s="44" t="inlineStr">
        <is>
          <t>integer</t>
        </is>
      </c>
      <c r="E9" s="44" t="inlineStr">
        <is>
          <t>1–4</t>
        </is>
      </c>
      <c r="F9" s="45" t="inlineStr">
        <is>
          <t>See 05_ValueLabels. Used as the MGA grouping variable, NOT as a covariate.</t>
        </is>
      </c>
    </row>
    <row r="10">
      <c r="A10" s="44" t="n">
        <v>7</v>
      </c>
      <c r="B10" s="44" t="inlineStr">
        <is>
          <t>SCR1</t>
        </is>
      </c>
      <c r="C10" s="45" t="inlineStr">
        <is>
          <t>Keeps or supervises records?</t>
        </is>
      </c>
      <c r="D10" s="44" t="inlineStr">
        <is>
          <t>integer</t>
        </is>
      </c>
      <c r="E10" s="44" t="inlineStr">
        <is>
          <t>0/1</t>
        </is>
      </c>
      <c r="F10" s="45" t="inlineStr">
        <is>
          <t>Screening. Must be 1 to be eligible.</t>
        </is>
      </c>
    </row>
    <row r="11">
      <c r="A11" s="44" t="n">
        <v>8</v>
      </c>
      <c r="B11" s="44" t="inlineStr">
        <is>
          <t>SCR2</t>
        </is>
      </c>
      <c r="C11" s="45" t="inlineStr">
        <is>
          <t>Participates in pricing / disposal decisions?</t>
        </is>
      </c>
      <c r="D11" s="44" t="inlineStr">
        <is>
          <t>integer</t>
        </is>
      </c>
      <c r="E11" s="44" t="inlineStr">
        <is>
          <t>0/1</t>
        </is>
      </c>
      <c r="F11" s="45" t="inlineStr">
        <is>
          <t>Screening. Must be 1 to be eligible.</t>
        </is>
      </c>
    </row>
    <row r="12">
      <c r="A12" s="44" t="n">
        <v>9</v>
      </c>
      <c r="B12" s="44" t="inlineStr">
        <is>
          <t>SCR3</t>
        </is>
      </c>
      <c r="C12" s="45" t="inlineStr">
        <is>
          <t>Seasons in this role</t>
        </is>
      </c>
      <c r="D12" s="44" t="inlineStr">
        <is>
          <t>integer</t>
        </is>
      </c>
      <c r="E12" s="44" t="inlineStr">
        <is>
          <t>&gt;=0</t>
        </is>
      </c>
      <c r="F12" s="45" t="inlineStr">
        <is>
          <t>Screening. Must be &gt;=3 (the outcome items are change over three seasons).</t>
        </is>
      </c>
    </row>
    <row r="13">
      <c r="A13" s="44" t="n">
        <v>10</v>
      </c>
      <c r="B13" s="44" t="inlineStr">
        <is>
          <t>SCR4</t>
        </is>
      </c>
      <c r="C13" s="45" t="inlineStr">
        <is>
          <t>Self-described role</t>
        </is>
      </c>
      <c r="D13" s="44" t="inlineStr">
        <is>
          <t>integer</t>
        </is>
      </c>
      <c r="E13" s="44" t="inlineStr">
        <is>
          <t>1–6</t>
        </is>
      </c>
      <c r="F13" s="45" t="inlineStr">
        <is>
          <t>Assigns STRATUM. See 05_ValueLabels.</t>
        </is>
      </c>
    </row>
    <row r="14">
      <c r="A14" s="46" t="n">
        <v>11</v>
      </c>
      <c r="B14" s="46" t="inlineStr">
        <is>
          <t>CAC1</t>
        </is>
      </c>
      <c r="C14" s="47" t="inlineStr">
        <is>
          <t>Circular accounting capability item 1</t>
        </is>
      </c>
      <c r="D14" s="46" t="inlineStr">
        <is>
          <t>integer</t>
        </is>
      </c>
      <c r="E14" s="46" t="inlineStr">
        <is>
          <t>1–7</t>
        </is>
      </c>
      <c r="F14" s="47" t="inlineStr">
        <is>
          <t>Focal. Items 1–3 measurement, 4–6 loss costing, 7–9 recovery valuation. 7-point; 1 = not at all … 7 = to a very great extent</t>
        </is>
      </c>
    </row>
    <row r="15">
      <c r="A15" s="46" t="n">
        <v>12</v>
      </c>
      <c r="B15" s="46" t="inlineStr">
        <is>
          <t>CAC2</t>
        </is>
      </c>
      <c r="C15" s="47" t="inlineStr">
        <is>
          <t>Circular accounting capability item 2</t>
        </is>
      </c>
      <c r="D15" s="46" t="inlineStr">
        <is>
          <t>integer</t>
        </is>
      </c>
      <c r="E15" s="46" t="inlineStr">
        <is>
          <t>1–7</t>
        </is>
      </c>
      <c r="F15" s="47" t="inlineStr">
        <is>
          <t>Focal. Items 1–3 measurement, 4–6 loss costing, 7–9 recovery valuation. 7-point; 1 = not at all … 7 = to a very great extent</t>
        </is>
      </c>
    </row>
    <row r="16">
      <c r="A16" s="46" t="n">
        <v>13</v>
      </c>
      <c r="B16" s="46" t="inlineStr">
        <is>
          <t>CAC3</t>
        </is>
      </c>
      <c r="C16" s="47" t="inlineStr">
        <is>
          <t>Circular accounting capability item 3</t>
        </is>
      </c>
      <c r="D16" s="46" t="inlineStr">
        <is>
          <t>integer</t>
        </is>
      </c>
      <c r="E16" s="46" t="inlineStr">
        <is>
          <t>1–7</t>
        </is>
      </c>
      <c r="F16" s="47" t="inlineStr">
        <is>
          <t>Focal. Items 1–3 measurement, 4–6 loss costing, 7–9 recovery valuation. 7-point; 1 = not at all … 7 = to a very great extent</t>
        </is>
      </c>
    </row>
    <row r="17">
      <c r="A17" s="46" t="n">
        <v>14</v>
      </c>
      <c r="B17" s="46" t="inlineStr">
        <is>
          <t>CAC4</t>
        </is>
      </c>
      <c r="C17" s="47" t="inlineStr">
        <is>
          <t>Circular accounting capability item 4</t>
        </is>
      </c>
      <c r="D17" s="46" t="inlineStr">
        <is>
          <t>integer</t>
        </is>
      </c>
      <c r="E17" s="46" t="inlineStr">
        <is>
          <t>1–7</t>
        </is>
      </c>
      <c r="F17" s="47" t="inlineStr">
        <is>
          <t>Focal. Items 1–3 measurement, 4–6 loss costing, 7–9 recovery valuation. 7-point; 1 = not at all … 7 = to a very great extent</t>
        </is>
      </c>
    </row>
    <row r="18">
      <c r="A18" s="46" t="n">
        <v>15</v>
      </c>
      <c r="B18" s="46" t="inlineStr">
        <is>
          <t>CAC5</t>
        </is>
      </c>
      <c r="C18" s="47" t="inlineStr">
        <is>
          <t>Circular accounting capability item 5</t>
        </is>
      </c>
      <c r="D18" s="46" t="inlineStr">
        <is>
          <t>integer</t>
        </is>
      </c>
      <c r="E18" s="46" t="inlineStr">
        <is>
          <t>1–7</t>
        </is>
      </c>
      <c r="F18" s="47" t="inlineStr">
        <is>
          <t>Focal. Items 1–3 measurement, 4–6 loss costing, 7–9 recovery valuation. 7-point; 1 = not at all … 7 = to a very great extent</t>
        </is>
      </c>
    </row>
    <row r="19">
      <c r="A19" s="46" t="n">
        <v>16</v>
      </c>
      <c r="B19" s="46" t="inlineStr">
        <is>
          <t>CAC6</t>
        </is>
      </c>
      <c r="C19" s="47" t="inlineStr">
        <is>
          <t>Circular accounting capability item 6</t>
        </is>
      </c>
      <c r="D19" s="46" t="inlineStr">
        <is>
          <t>integer</t>
        </is>
      </c>
      <c r="E19" s="46" t="inlineStr">
        <is>
          <t>1–7</t>
        </is>
      </c>
      <c r="F19" s="47" t="inlineStr">
        <is>
          <t>Focal. Items 1–3 measurement, 4–6 loss costing, 7–9 recovery valuation. 7-point; 1 = not at all … 7 = to a very great extent</t>
        </is>
      </c>
    </row>
    <row r="20">
      <c r="A20" s="46" t="n">
        <v>17</v>
      </c>
      <c r="B20" s="46" t="inlineStr">
        <is>
          <t>CAC7</t>
        </is>
      </c>
      <c r="C20" s="47" t="inlineStr">
        <is>
          <t>Circular accounting capability item 7</t>
        </is>
      </c>
      <c r="D20" s="46" t="inlineStr">
        <is>
          <t>integer</t>
        </is>
      </c>
      <c r="E20" s="46" t="inlineStr">
        <is>
          <t>1–7</t>
        </is>
      </c>
      <c r="F20" s="47" t="inlineStr">
        <is>
          <t>Focal. Items 1–3 measurement, 4–6 loss costing, 7–9 recovery valuation. 7-point; 1 = not at all … 7 = to a very great extent</t>
        </is>
      </c>
    </row>
    <row r="21">
      <c r="A21" s="46" t="n">
        <v>18</v>
      </c>
      <c r="B21" s="46" t="inlineStr">
        <is>
          <t>CAC8</t>
        </is>
      </c>
      <c r="C21" s="47" t="inlineStr">
        <is>
          <t>Circular accounting capability item 8</t>
        </is>
      </c>
      <c r="D21" s="46" t="inlineStr">
        <is>
          <t>integer</t>
        </is>
      </c>
      <c r="E21" s="46" t="inlineStr">
        <is>
          <t>1–7</t>
        </is>
      </c>
      <c r="F21" s="47" t="inlineStr">
        <is>
          <t>Focal. Items 1–3 measurement, 4–6 loss costing, 7–9 recovery valuation. 7-point; 1 = not at all … 7 = to a very great extent</t>
        </is>
      </c>
    </row>
    <row r="22">
      <c r="A22" s="46" t="n">
        <v>19</v>
      </c>
      <c r="B22" s="46" t="inlineStr">
        <is>
          <t>CAC9</t>
        </is>
      </c>
      <c r="C22" s="47" t="inlineStr">
        <is>
          <t>Circular accounting capability item 9</t>
        </is>
      </c>
      <c r="D22" s="46" t="inlineStr">
        <is>
          <t>integer</t>
        </is>
      </c>
      <c r="E22" s="46" t="inlineStr">
        <is>
          <t>1–7</t>
        </is>
      </c>
      <c r="F22" s="47" t="inlineStr">
        <is>
          <t>Focal. Items 1–3 measurement, 4–6 loss costing, 7–9 recovery valuation. 7-point; 1 = not at all … 7 = to a very great extent</t>
        </is>
      </c>
    </row>
    <row r="23">
      <c r="A23" s="46" t="n">
        <v>20</v>
      </c>
      <c r="B23" s="46" t="inlineStr">
        <is>
          <t>CIT1</t>
        </is>
      </c>
      <c r="C23" s="47" t="inlineStr">
        <is>
          <t>Circular information transparency item 1</t>
        </is>
      </c>
      <c r="D23" s="46" t="inlineStr">
        <is>
          <t>integer</t>
        </is>
      </c>
      <c r="E23" s="46" t="inlineStr">
        <is>
          <t>1–7</t>
        </is>
      </c>
      <c r="F23" s="47" t="inlineStr">
        <is>
          <t>Focal. 7-point; 1 = not at all … 7 = to a very great extent</t>
        </is>
      </c>
    </row>
    <row r="24">
      <c r="A24" s="46" t="n">
        <v>21</v>
      </c>
      <c r="B24" s="46" t="inlineStr">
        <is>
          <t>CIT2</t>
        </is>
      </c>
      <c r="C24" s="47" t="inlineStr">
        <is>
          <t>Circular information transparency item 2</t>
        </is>
      </c>
      <c r="D24" s="46" t="inlineStr">
        <is>
          <t>integer</t>
        </is>
      </c>
      <c r="E24" s="46" t="inlineStr">
        <is>
          <t>1–7</t>
        </is>
      </c>
      <c r="F24" s="47" t="inlineStr">
        <is>
          <t>Focal. 7-point; 1 = not at all … 7 = to a very great extent</t>
        </is>
      </c>
    </row>
    <row r="25">
      <c r="A25" s="46" t="n">
        <v>22</v>
      </c>
      <c r="B25" s="46" t="inlineStr">
        <is>
          <t>CIT3</t>
        </is>
      </c>
      <c r="C25" s="47" t="inlineStr">
        <is>
          <t>Circular information transparency item 3</t>
        </is>
      </c>
      <c r="D25" s="46" t="inlineStr">
        <is>
          <t>integer</t>
        </is>
      </c>
      <c r="E25" s="46" t="inlineStr">
        <is>
          <t>1–7</t>
        </is>
      </c>
      <c r="F25" s="47" t="inlineStr">
        <is>
          <t>Focal. 7-point; 1 = not at all … 7 = to a very great extent</t>
        </is>
      </c>
    </row>
    <row r="26">
      <c r="A26" s="46" t="n">
        <v>23</v>
      </c>
      <c r="B26" s="46" t="inlineStr">
        <is>
          <t>CIT4</t>
        </is>
      </c>
      <c r="C26" s="47" t="inlineStr">
        <is>
          <t>Circular information transparency item 4</t>
        </is>
      </c>
      <c r="D26" s="46" t="inlineStr">
        <is>
          <t>integer</t>
        </is>
      </c>
      <c r="E26" s="46" t="inlineStr">
        <is>
          <t>1–7</t>
        </is>
      </c>
      <c r="F26" s="47" t="inlineStr">
        <is>
          <t>Focal. 7-point; 1 = not at all … 7 = to a very great extent</t>
        </is>
      </c>
    </row>
    <row r="27">
      <c r="A27" s="46" t="n">
        <v>24</v>
      </c>
      <c r="B27" s="46" t="inlineStr">
        <is>
          <t>CIT5</t>
        </is>
      </c>
      <c r="C27" s="47" t="inlineStr">
        <is>
          <t>Circular information transparency item 5</t>
        </is>
      </c>
      <c r="D27" s="46" t="inlineStr">
        <is>
          <t>integer</t>
        </is>
      </c>
      <c r="E27" s="46" t="inlineStr">
        <is>
          <t>1–7</t>
        </is>
      </c>
      <c r="F27" s="47" t="inlineStr">
        <is>
          <t>Focal. 7-point; 1 = not at all … 7 = to a very great extent</t>
        </is>
      </c>
    </row>
    <row r="28">
      <c r="A28" s="46" t="n">
        <v>25</v>
      </c>
      <c r="B28" s="46" t="inlineStr">
        <is>
          <t>CGQ1</t>
        </is>
      </c>
      <c r="C28" s="47" t="inlineStr">
        <is>
          <t>Circular governance quality item 1</t>
        </is>
      </c>
      <c r="D28" s="46" t="inlineStr">
        <is>
          <t>integer</t>
        </is>
      </c>
      <c r="E28" s="46" t="inlineStr">
        <is>
          <t>1–7</t>
        </is>
      </c>
      <c r="F28" s="47" t="inlineStr">
        <is>
          <t>Focal — the moderator. 7-point; 1 = not at all … 7 = to a very great extent</t>
        </is>
      </c>
    </row>
    <row r="29">
      <c r="A29" s="46" t="n">
        <v>26</v>
      </c>
      <c r="B29" s="46" t="inlineStr">
        <is>
          <t>CGQ2</t>
        </is>
      </c>
      <c r="C29" s="47" t="inlineStr">
        <is>
          <t>Circular governance quality item 2</t>
        </is>
      </c>
      <c r="D29" s="46" t="inlineStr">
        <is>
          <t>integer</t>
        </is>
      </c>
      <c r="E29" s="46" t="inlineStr">
        <is>
          <t>1–7</t>
        </is>
      </c>
      <c r="F29" s="47" t="inlineStr">
        <is>
          <t>Focal — the moderator. 7-point; 1 = not at all … 7 = to a very great extent</t>
        </is>
      </c>
    </row>
    <row r="30">
      <c r="A30" s="46" t="n">
        <v>27</v>
      </c>
      <c r="B30" s="46" t="inlineStr">
        <is>
          <t>CGQ3</t>
        </is>
      </c>
      <c r="C30" s="47" t="inlineStr">
        <is>
          <t>Circular governance quality item 3</t>
        </is>
      </c>
      <c r="D30" s="46" t="inlineStr">
        <is>
          <t>integer</t>
        </is>
      </c>
      <c r="E30" s="46" t="inlineStr">
        <is>
          <t>1–7</t>
        </is>
      </c>
      <c r="F30" s="47" t="inlineStr">
        <is>
          <t>Focal — the moderator. 7-point; 1 = not at all … 7 = to a very great extent</t>
        </is>
      </c>
    </row>
    <row r="31">
      <c r="A31" s="46" t="n">
        <v>28</v>
      </c>
      <c r="B31" s="46" t="inlineStr">
        <is>
          <t>CGQ4</t>
        </is>
      </c>
      <c r="C31" s="47" t="inlineStr">
        <is>
          <t>Circular governance quality item 4</t>
        </is>
      </c>
      <c r="D31" s="46" t="inlineStr">
        <is>
          <t>integer</t>
        </is>
      </c>
      <c r="E31" s="46" t="inlineStr">
        <is>
          <t>1–7</t>
        </is>
      </c>
      <c r="F31" s="47" t="inlineStr">
        <is>
          <t>Focal — the moderator. 7-point; 1 = not at all … 7 = to a very great extent</t>
        </is>
      </c>
    </row>
    <row r="32">
      <c r="A32" s="46" t="n">
        <v>29</v>
      </c>
      <c r="B32" s="46" t="inlineStr">
        <is>
          <t>CGQ5</t>
        </is>
      </c>
      <c r="C32" s="47" t="inlineStr">
        <is>
          <t>Circular governance quality item 5</t>
        </is>
      </c>
      <c r="D32" s="46" t="inlineStr">
        <is>
          <t>integer</t>
        </is>
      </c>
      <c r="E32" s="46" t="inlineStr">
        <is>
          <t>1–7</t>
        </is>
      </c>
      <c r="F32" s="47" t="inlineStr">
        <is>
          <t>Focal — the moderator. 7-point; 1 = not at all … 7 = to a very great extent</t>
        </is>
      </c>
    </row>
    <row r="33">
      <c r="A33" s="46" t="n">
        <v>30</v>
      </c>
      <c r="B33" s="46" t="inlineStr">
        <is>
          <t>CGQ6</t>
        </is>
      </c>
      <c r="C33" s="47" t="inlineStr">
        <is>
          <t>Circular governance quality item 6</t>
        </is>
      </c>
      <c r="D33" s="46" t="inlineStr">
        <is>
          <t>integer</t>
        </is>
      </c>
      <c r="E33" s="46" t="inlineStr">
        <is>
          <t>1–7</t>
        </is>
      </c>
      <c r="F33" s="47" t="inlineStr">
        <is>
          <t>Focal — the moderator. 7-point; 1 = not at all … 7 = to a very great extent</t>
        </is>
      </c>
    </row>
    <row r="34">
      <c r="A34" s="46" t="n">
        <v>31</v>
      </c>
      <c r="B34" s="46" t="inlineStr">
        <is>
          <t>CVCI1</t>
        </is>
      </c>
      <c r="C34" s="47" t="inlineStr">
        <is>
          <t>Circular value-chain integration item 1</t>
        </is>
      </c>
      <c r="D34" s="46" t="inlineStr">
        <is>
          <t>integer</t>
        </is>
      </c>
      <c r="E34" s="46" t="inlineStr">
        <is>
          <t>1–7</t>
        </is>
      </c>
      <c r="F34" s="47" t="inlineStr">
        <is>
          <t>Focal — the focal endogenous construct. 7-point; 1 = not at all … 7 = to a very great extent</t>
        </is>
      </c>
    </row>
    <row r="35">
      <c r="A35" s="46" t="n">
        <v>32</v>
      </c>
      <c r="B35" s="46" t="inlineStr">
        <is>
          <t>CVCI2</t>
        </is>
      </c>
      <c r="C35" s="47" t="inlineStr">
        <is>
          <t>Circular value-chain integration item 2</t>
        </is>
      </c>
      <c r="D35" s="46" t="inlineStr">
        <is>
          <t>integer</t>
        </is>
      </c>
      <c r="E35" s="46" t="inlineStr">
        <is>
          <t>1–7</t>
        </is>
      </c>
      <c r="F35" s="47" t="inlineStr">
        <is>
          <t>Focal — the focal endogenous construct. 7-point; 1 = not at all … 7 = to a very great extent</t>
        </is>
      </c>
    </row>
    <row r="36">
      <c r="A36" s="46" t="n">
        <v>33</v>
      </c>
      <c r="B36" s="46" t="inlineStr">
        <is>
          <t>CVCI3</t>
        </is>
      </c>
      <c r="C36" s="47" t="inlineStr">
        <is>
          <t>Circular value-chain integration item 3</t>
        </is>
      </c>
      <c r="D36" s="46" t="inlineStr">
        <is>
          <t>integer</t>
        </is>
      </c>
      <c r="E36" s="46" t="inlineStr">
        <is>
          <t>1–7</t>
        </is>
      </c>
      <c r="F36" s="47" t="inlineStr">
        <is>
          <t>Focal — the focal endogenous construct. 7-point; 1 = not at all … 7 = to a very great extent</t>
        </is>
      </c>
    </row>
    <row r="37">
      <c r="A37" s="46" t="n">
        <v>34</v>
      </c>
      <c r="B37" s="46" t="inlineStr">
        <is>
          <t>CVCI4</t>
        </is>
      </c>
      <c r="C37" s="47" t="inlineStr">
        <is>
          <t>Circular value-chain integration item 4</t>
        </is>
      </c>
      <c r="D37" s="46" t="inlineStr">
        <is>
          <t>integer</t>
        </is>
      </c>
      <c r="E37" s="46" t="inlineStr">
        <is>
          <t>1–7</t>
        </is>
      </c>
      <c r="F37" s="47" t="inlineStr">
        <is>
          <t>Focal — the focal endogenous construct. 7-point; 1 = not at all … 7 = to a very great extent</t>
        </is>
      </c>
    </row>
    <row r="38">
      <c r="A38" s="46" t="n">
        <v>35</v>
      </c>
      <c r="B38" s="46" t="inlineStr">
        <is>
          <t>CVCI5</t>
        </is>
      </c>
      <c r="C38" s="47" t="inlineStr">
        <is>
          <t>Circular value-chain integration item 5</t>
        </is>
      </c>
      <c r="D38" s="46" t="inlineStr">
        <is>
          <t>integer</t>
        </is>
      </c>
      <c r="E38" s="46" t="inlineStr">
        <is>
          <t>1–7</t>
        </is>
      </c>
      <c r="F38" s="47" t="inlineStr">
        <is>
          <t>Focal — the focal endogenous construct. 7-point; 1 = not at all … 7 = to a very great extent</t>
        </is>
      </c>
    </row>
    <row r="39">
      <c r="A39" s="46" t="n">
        <v>36</v>
      </c>
      <c r="B39" s="46" t="inlineStr">
        <is>
          <t>CVCI6</t>
        </is>
      </c>
      <c r="C39" s="47" t="inlineStr">
        <is>
          <t>Circular value-chain integration item 6</t>
        </is>
      </c>
      <c r="D39" s="46" t="inlineStr">
        <is>
          <t>integer</t>
        </is>
      </c>
      <c r="E39" s="46" t="inlineStr">
        <is>
          <t>1–7</t>
        </is>
      </c>
      <c r="F39" s="47" t="inlineStr">
        <is>
          <t>Focal — the focal endogenous construct. 7-point; 1 = not at all … 7 = to a very great extent</t>
        </is>
      </c>
    </row>
    <row r="40">
      <c r="A40" s="46" t="n">
        <v>37</v>
      </c>
      <c r="B40" s="46" t="inlineStr">
        <is>
          <t>CVCP1</t>
        </is>
      </c>
      <c r="C40" s="47" t="inlineStr">
        <is>
          <t>Circular value creation performance item 1</t>
        </is>
      </c>
      <c r="D40" s="46" t="inlineStr">
        <is>
          <t>integer</t>
        </is>
      </c>
      <c r="E40" s="46" t="inlineStr">
        <is>
          <t>1–7</t>
        </is>
      </c>
      <c r="F40" s="47" t="inlineStr">
        <is>
          <t>Focal. Items 1–4 economic, 5–8 environmental, 9–11 social. HIGHER = BETTER. 7-point change; 1 = decreased greatly, 4 = no change, 7 = increased greatly</t>
        </is>
      </c>
    </row>
    <row r="41">
      <c r="A41" s="46" t="n">
        <v>38</v>
      </c>
      <c r="B41" s="46" t="inlineStr">
        <is>
          <t>CVCP2</t>
        </is>
      </c>
      <c r="C41" s="47" t="inlineStr">
        <is>
          <t>Circular value creation performance item 2</t>
        </is>
      </c>
      <c r="D41" s="46" t="inlineStr">
        <is>
          <t>integer</t>
        </is>
      </c>
      <c r="E41" s="46" t="inlineStr">
        <is>
          <t>1–7</t>
        </is>
      </c>
      <c r="F41" s="47" t="inlineStr">
        <is>
          <t>Focal. Items 1–4 economic, 5–8 environmental, 9–11 social. HIGHER = BETTER. 7-point change; 1 = decreased greatly, 4 = no change, 7 = increased greatly</t>
        </is>
      </c>
    </row>
    <row r="42">
      <c r="A42" s="46" t="n">
        <v>39</v>
      </c>
      <c r="B42" s="46" t="inlineStr">
        <is>
          <t>CVCP3</t>
        </is>
      </c>
      <c r="C42" s="47" t="inlineStr">
        <is>
          <t>Circular value creation performance item 3</t>
        </is>
      </c>
      <c r="D42" s="46" t="inlineStr">
        <is>
          <t>integer</t>
        </is>
      </c>
      <c r="E42" s="46" t="inlineStr">
        <is>
          <t>1–7</t>
        </is>
      </c>
      <c r="F42" s="47" t="inlineStr">
        <is>
          <t>Focal. Items 1–4 economic, 5–8 environmental, 9–11 social. HIGHER = BETTER. 7-point change; 1 = decreased greatly, 4 = no change, 7 = increased greatly</t>
        </is>
      </c>
    </row>
    <row r="43">
      <c r="A43" s="46" t="n">
        <v>40</v>
      </c>
      <c r="B43" s="46" t="inlineStr">
        <is>
          <t>CVCP4</t>
        </is>
      </c>
      <c r="C43" s="47" t="inlineStr">
        <is>
          <t>Circular value creation performance item 4</t>
        </is>
      </c>
      <c r="D43" s="46" t="inlineStr">
        <is>
          <t>integer</t>
        </is>
      </c>
      <c r="E43" s="46" t="inlineStr">
        <is>
          <t>1–7</t>
        </is>
      </c>
      <c r="F43" s="47" t="inlineStr">
        <is>
          <t>Focal. Items 1–4 economic, 5–8 environmental, 9–11 social. HIGHER = BETTER. 7-point change; 1 = decreased greatly, 4 = no change, 7 = increased greatly</t>
        </is>
      </c>
    </row>
    <row r="44">
      <c r="A44" s="46" t="n">
        <v>41</v>
      </c>
      <c r="B44" s="46" t="inlineStr">
        <is>
          <t>CVCP5</t>
        </is>
      </c>
      <c r="C44" s="47" t="inlineStr">
        <is>
          <t>Circular value creation performance item 5</t>
        </is>
      </c>
      <c r="D44" s="46" t="inlineStr">
        <is>
          <t>integer</t>
        </is>
      </c>
      <c r="E44" s="46" t="inlineStr">
        <is>
          <t>1–7</t>
        </is>
      </c>
      <c r="F44" s="47" t="inlineStr">
        <is>
          <t>Focal. Items 1–4 economic, 5–8 environmental, 9–11 social. HIGHER = BETTER. 7-point change; 1 = decreased greatly, 4 = no change, 7 = increased greatly</t>
        </is>
      </c>
    </row>
    <row r="45">
      <c r="A45" s="46" t="n">
        <v>42</v>
      </c>
      <c r="B45" s="46" t="inlineStr">
        <is>
          <t>CVCP6</t>
        </is>
      </c>
      <c r="C45" s="47" t="inlineStr">
        <is>
          <t>Circular value creation performance item 6</t>
        </is>
      </c>
      <c r="D45" s="46" t="inlineStr">
        <is>
          <t>integer</t>
        </is>
      </c>
      <c r="E45" s="46" t="inlineStr">
        <is>
          <t>1–7</t>
        </is>
      </c>
      <c r="F45" s="47" t="inlineStr">
        <is>
          <t>Focal. Items 1–4 economic, 5–8 environmental, 9–11 social. HIGHER = BETTER. 7-point change; 1 = decreased greatly, 4 = no change, 7 = increased greatly</t>
        </is>
      </c>
    </row>
    <row r="46">
      <c r="A46" s="46" t="n">
        <v>43</v>
      </c>
      <c r="B46" s="46" t="inlineStr">
        <is>
          <t>CVCP7</t>
        </is>
      </c>
      <c r="C46" s="47" t="inlineStr">
        <is>
          <t>Circular value creation performance item 7</t>
        </is>
      </c>
      <c r="D46" s="46" t="inlineStr">
        <is>
          <t>integer</t>
        </is>
      </c>
      <c r="E46" s="46" t="inlineStr">
        <is>
          <t>1–7</t>
        </is>
      </c>
      <c r="F46" s="47" t="inlineStr">
        <is>
          <t>Focal. Items 1–4 economic, 5–8 environmental, 9–11 social. HIGHER = BETTER. 7-point change; 1 = decreased greatly, 4 = no change, 7 = increased greatly</t>
        </is>
      </c>
    </row>
    <row r="47">
      <c r="A47" s="46" t="n">
        <v>44</v>
      </c>
      <c r="B47" s="46" t="inlineStr">
        <is>
          <t>CVCP8</t>
        </is>
      </c>
      <c r="C47" s="47" t="inlineStr">
        <is>
          <t>Circular value creation performance item 8</t>
        </is>
      </c>
      <c r="D47" s="46" t="inlineStr">
        <is>
          <t>integer</t>
        </is>
      </c>
      <c r="E47" s="46" t="inlineStr">
        <is>
          <t>1–7</t>
        </is>
      </c>
      <c r="F47" s="47" t="inlineStr">
        <is>
          <t>Focal. Items 1–4 economic, 5–8 environmental, 9–11 social. HIGHER = BETTER. 7-point change; 1 = decreased greatly, 4 = no change, 7 = increased greatly</t>
        </is>
      </c>
    </row>
    <row r="48">
      <c r="A48" s="46" t="n">
        <v>45</v>
      </c>
      <c r="B48" s="46" t="inlineStr">
        <is>
          <t>CVCP9</t>
        </is>
      </c>
      <c r="C48" s="47" t="inlineStr">
        <is>
          <t>Circular value creation performance item 9</t>
        </is>
      </c>
      <c r="D48" s="46" t="inlineStr">
        <is>
          <t>integer</t>
        </is>
      </c>
      <c r="E48" s="46" t="inlineStr">
        <is>
          <t>1–7</t>
        </is>
      </c>
      <c r="F48" s="47" t="inlineStr">
        <is>
          <t>Focal. Items 1–4 economic, 5–8 environmental, 9–11 social. HIGHER = BETTER. 7-point change; 1 = decreased greatly, 4 = no change, 7 = increased greatly</t>
        </is>
      </c>
    </row>
    <row r="49">
      <c r="A49" s="46" t="n">
        <v>46</v>
      </c>
      <c r="B49" s="46" t="inlineStr">
        <is>
          <t>CVCP10</t>
        </is>
      </c>
      <c r="C49" s="47" t="inlineStr">
        <is>
          <t>Circular value creation performance item 10</t>
        </is>
      </c>
      <c r="D49" s="46" t="inlineStr">
        <is>
          <t>integer</t>
        </is>
      </c>
      <c r="E49" s="46" t="inlineStr">
        <is>
          <t>1–7</t>
        </is>
      </c>
      <c r="F49" s="47" t="inlineStr">
        <is>
          <t>Focal. Items 1–4 economic, 5–8 environmental, 9–11 social. HIGHER = BETTER. 7-point change; 1 = decreased greatly, 4 = no change, 7 = increased greatly</t>
        </is>
      </c>
    </row>
    <row r="50">
      <c r="A50" s="46" t="n">
        <v>47</v>
      </c>
      <c r="B50" s="46" t="inlineStr">
        <is>
          <t>CVCP11</t>
        </is>
      </c>
      <c r="C50" s="47" t="inlineStr">
        <is>
          <t>Circular value creation performance item 11</t>
        </is>
      </c>
      <c r="D50" s="46" t="inlineStr">
        <is>
          <t>integer</t>
        </is>
      </c>
      <c r="E50" s="46" t="inlineStr">
        <is>
          <t>1–7</t>
        </is>
      </c>
      <c r="F50" s="47" t="inlineStr">
        <is>
          <t>Focal. Items 1–4 economic, 5–8 environmental, 9–11 social. HIGHER = BETTER. 7-point change; 1 = decreased greatly, 4 = no change, 7 = increased greatly</t>
        </is>
      </c>
    </row>
    <row r="51">
      <c r="A51" s="48" t="n">
        <v>48</v>
      </c>
      <c r="B51" s="48" t="inlineStr">
        <is>
          <t>DTC1</t>
        </is>
      </c>
      <c r="C51" s="22" t="inlineStr">
        <is>
          <t>Digital traceability capability item 1</t>
        </is>
      </c>
      <c r="D51" s="48" t="inlineStr">
        <is>
          <t>integer</t>
        </is>
      </c>
      <c r="E51" s="48" t="inlineStr">
        <is>
          <t>1–7</t>
        </is>
      </c>
      <c r="F51" s="22" t="inlineStr">
        <is>
          <t>Control and rival explanation. Critical to the smart-production test. 7-point; 1 = not at all … 7 = to a very great extent</t>
        </is>
      </c>
    </row>
    <row r="52">
      <c r="A52" s="48" t="n">
        <v>49</v>
      </c>
      <c r="B52" s="48" t="inlineStr">
        <is>
          <t>DTC2</t>
        </is>
      </c>
      <c r="C52" s="22" t="inlineStr">
        <is>
          <t>Digital traceability capability item 2</t>
        </is>
      </c>
      <c r="D52" s="48" t="inlineStr">
        <is>
          <t>integer</t>
        </is>
      </c>
      <c r="E52" s="48" t="inlineStr">
        <is>
          <t>1–7</t>
        </is>
      </c>
      <c r="F52" s="22" t="inlineStr">
        <is>
          <t>Control and rival explanation. Critical to the smart-production test. 7-point; 1 = not at all … 7 = to a very great extent</t>
        </is>
      </c>
    </row>
    <row r="53">
      <c r="A53" s="48" t="n">
        <v>50</v>
      </c>
      <c r="B53" s="48" t="inlineStr">
        <is>
          <t>DTC3</t>
        </is>
      </c>
      <c r="C53" s="22" t="inlineStr">
        <is>
          <t>Digital traceability capability item 3</t>
        </is>
      </c>
      <c r="D53" s="48" t="inlineStr">
        <is>
          <t>integer</t>
        </is>
      </c>
      <c r="E53" s="48" t="inlineStr">
        <is>
          <t>1–7</t>
        </is>
      </c>
      <c r="F53" s="22" t="inlineStr">
        <is>
          <t>Control and rival explanation. Critical to the smart-production test. 7-point; 1 = not at all … 7 = to a very great extent</t>
        </is>
      </c>
    </row>
    <row r="54">
      <c r="A54" s="48" t="n">
        <v>51</v>
      </c>
      <c r="B54" s="48" t="inlineStr">
        <is>
          <t>IS1</t>
        </is>
      </c>
      <c r="C54" s="22" t="inlineStr">
        <is>
          <t>Institutional support item 1</t>
        </is>
      </c>
      <c r="D54" s="48" t="inlineStr">
        <is>
          <t>integer</t>
        </is>
      </c>
      <c r="E54" s="48" t="inlineStr">
        <is>
          <t>1–7</t>
        </is>
      </c>
      <c r="F54" s="22" t="inlineStr">
        <is>
          <t>Control. IS2 and IS3 are the double-barrelled items flagged in Section 5.5. 7-point; 1 = not at all … 7 = to a very great extent</t>
        </is>
      </c>
    </row>
    <row r="55">
      <c r="A55" s="48" t="n">
        <v>52</v>
      </c>
      <c r="B55" s="48" t="inlineStr">
        <is>
          <t>IS2</t>
        </is>
      </c>
      <c r="C55" s="22" t="inlineStr">
        <is>
          <t>Institutional support item 2</t>
        </is>
      </c>
      <c r="D55" s="48" t="inlineStr">
        <is>
          <t>integer</t>
        </is>
      </c>
      <c r="E55" s="48" t="inlineStr">
        <is>
          <t>1–7</t>
        </is>
      </c>
      <c r="F55" s="22" t="inlineStr">
        <is>
          <t>Control. IS2 and IS3 are the double-barrelled items flagged in Section 5.5. 7-point; 1 = not at all … 7 = to a very great extent</t>
        </is>
      </c>
    </row>
    <row r="56">
      <c r="A56" s="48" t="n">
        <v>53</v>
      </c>
      <c r="B56" s="48" t="inlineStr">
        <is>
          <t>IS3</t>
        </is>
      </c>
      <c r="C56" s="22" t="inlineStr">
        <is>
          <t>Institutional support item 3</t>
        </is>
      </c>
      <c r="D56" s="48" t="inlineStr">
        <is>
          <t>integer</t>
        </is>
      </c>
      <c r="E56" s="48" t="inlineStr">
        <is>
          <t>1–7</t>
        </is>
      </c>
      <c r="F56" s="22" t="inlineStr">
        <is>
          <t>Control. IS2 and IS3 are the double-barrelled items flagged in Section 5.5. 7-point; 1 = not at all … 7 = to a very great extent</t>
        </is>
      </c>
    </row>
    <row r="57">
      <c r="A57" s="48" t="n">
        <v>54</v>
      </c>
      <c r="B57" s="48" t="inlineStr">
        <is>
          <t>MK1</t>
        </is>
      </c>
      <c r="C57" s="22" t="inlineStr">
        <is>
          <t>Marker (attitude toward the colour blue) item 1</t>
        </is>
      </c>
      <c r="D57" s="48" t="inlineStr">
        <is>
          <t>integer</t>
        </is>
      </c>
      <c r="E57" s="48" t="inlineStr">
        <is>
          <t>1–7</t>
        </is>
      </c>
      <c r="F57" s="22" t="inlineStr">
        <is>
          <t>Method-bias marker. Miller and Simmering (2023), verbatim. Excluded from the structural model. 7-point; 1 = not at all … 7 = to a very great extent</t>
        </is>
      </c>
    </row>
    <row r="58">
      <c r="A58" s="48" t="n">
        <v>55</v>
      </c>
      <c r="B58" s="48" t="inlineStr">
        <is>
          <t>MK2</t>
        </is>
      </c>
      <c r="C58" s="22" t="inlineStr">
        <is>
          <t>Marker (attitude toward the colour blue) item 2</t>
        </is>
      </c>
      <c r="D58" s="48" t="inlineStr">
        <is>
          <t>integer</t>
        </is>
      </c>
      <c r="E58" s="48" t="inlineStr">
        <is>
          <t>1–7</t>
        </is>
      </c>
      <c r="F58" s="22" t="inlineStr">
        <is>
          <t>Method-bias marker. Miller and Simmering (2023), verbatim. Excluded from the structural model. 7-point; 1 = not at all … 7 = to a very great extent</t>
        </is>
      </c>
    </row>
    <row r="59">
      <c r="A59" s="48" t="n">
        <v>56</v>
      </c>
      <c r="B59" s="48" t="inlineStr">
        <is>
          <t>MK3</t>
        </is>
      </c>
      <c r="C59" s="22" t="inlineStr">
        <is>
          <t>Marker (attitude toward the colour blue) item 3</t>
        </is>
      </c>
      <c r="D59" s="48" t="inlineStr">
        <is>
          <t>integer</t>
        </is>
      </c>
      <c r="E59" s="48" t="inlineStr">
        <is>
          <t>1–7</t>
        </is>
      </c>
      <c r="F59" s="22" t="inlineStr">
        <is>
          <t>Method-bias marker. Miller and Simmering (2023), verbatim. Excluded from the structural model. 7-point; 1 = not at all … 7 = to a very great extent</t>
        </is>
      </c>
    </row>
    <row r="60">
      <c r="A60" s="49" t="n">
        <v>57</v>
      </c>
      <c r="B60" s="49" t="inlineStr">
        <is>
          <t>CAC_GLOBAL</t>
        </is>
      </c>
      <c r="C60" s="18" t="inlineStr">
        <is>
          <t>Global single-item measure of circular accounting capability</t>
        </is>
      </c>
      <c r="D60" s="49" t="inlineStr">
        <is>
          <t>integer</t>
        </is>
      </c>
      <c r="E60" s="49" t="inlineStr">
        <is>
          <t>1–7</t>
        </is>
      </c>
      <c r="F60" s="18" t="inlineStr">
        <is>
          <t>REQUIRED FOR REDUNDANCY ANALYSIS of the formative HOC. Cannot be added later. Leave blank if not fielded and declare the limitation.</t>
        </is>
      </c>
    </row>
    <row r="61">
      <c r="A61" s="49" t="n">
        <v>58</v>
      </c>
      <c r="B61" s="49" t="inlineStr">
        <is>
          <t>CVCP_GLOBAL</t>
        </is>
      </c>
      <c r="C61" s="18" t="inlineStr">
        <is>
          <t>Global single-item measure of circular value creation</t>
        </is>
      </c>
      <c r="D61" s="49" t="inlineStr">
        <is>
          <t>integer</t>
        </is>
      </c>
      <c r="E61" s="49" t="inlineStr">
        <is>
          <t>1–7</t>
        </is>
      </c>
      <c r="F61" s="18" t="inlineStr">
        <is>
          <t>REQUIRED FOR REDUNDANCY ANALYSIS of the formative HOC. Cannot be added later.</t>
        </is>
      </c>
    </row>
    <row r="62">
      <c r="A62" s="48" t="n">
        <v>59</v>
      </c>
      <c r="B62" s="48" t="inlineStr">
        <is>
          <t>SIZE_n</t>
        </is>
      </c>
      <c r="C62" s="22" t="inlineStr">
        <is>
          <t>Persons engaged, incl. unpaid family labour</t>
        </is>
      </c>
      <c r="D62" s="48" t="inlineStr">
        <is>
          <t>integer</t>
        </is>
      </c>
      <c r="E62" s="48" t="inlineStr">
        <is>
          <t>&gt;=1</t>
        </is>
      </c>
      <c r="F62" s="22" t="inlineStr">
        <is>
          <t>Control. Script derives SIZE_ln = log(1+n).</t>
        </is>
      </c>
    </row>
    <row r="63">
      <c r="A63" s="48" t="n">
        <v>60</v>
      </c>
      <c r="B63" s="48" t="inlineStr">
        <is>
          <t>AGE_yr</t>
        </is>
      </c>
      <c r="C63" s="22" t="inlineStr">
        <is>
          <t>Years the enterprise has operated</t>
        </is>
      </c>
      <c r="D63" s="48" t="inlineStr">
        <is>
          <t>integer</t>
        </is>
      </c>
      <c r="E63" s="48" t="inlineStr">
        <is>
          <t>&gt;=0</t>
        </is>
      </c>
      <c r="F63" s="22" t="inlineStr">
        <is>
          <t>Control. Script derives AGE_ln.</t>
        </is>
      </c>
    </row>
    <row r="64">
      <c r="A64" s="48" t="n">
        <v>61</v>
      </c>
      <c r="B64" s="48" t="inlineStr">
        <is>
          <t>VOL_t</t>
        </is>
      </c>
      <c r="C64" s="22" t="inlineStr">
        <is>
          <t>Tonnes handled last season</t>
        </is>
      </c>
      <c r="D64" s="48" t="inlineStr">
        <is>
          <t>decimal</t>
        </is>
      </c>
      <c r="E64" s="48" t="inlineStr">
        <is>
          <t>&gt;=0</t>
        </is>
      </c>
      <c r="F64" s="22" t="inlineStr">
        <is>
          <t>Control. Script derives VOL_ln.</t>
        </is>
      </c>
    </row>
    <row r="65">
      <c r="A65" s="48" t="n">
        <v>62</v>
      </c>
      <c r="B65" s="48" t="inlineStr">
        <is>
          <t>EDU</t>
        </is>
      </c>
      <c r="C65" s="22" t="inlineStr">
        <is>
          <t>Key informant education</t>
        </is>
      </c>
      <c r="D65" s="48" t="inlineStr">
        <is>
          <t>integer</t>
        </is>
      </c>
      <c r="E65" s="48" t="inlineStr">
        <is>
          <t>1–6</t>
        </is>
      </c>
      <c r="F65" s="22" t="inlineStr">
        <is>
          <t>Control. See 05_ValueLabels.</t>
        </is>
      </c>
    </row>
    <row r="66">
      <c r="A66" s="48" t="n">
        <v>63</v>
      </c>
      <c r="B66" s="48" t="inlineStr">
        <is>
          <t>AFF</t>
        </is>
      </c>
      <c r="C66" s="22" t="inlineStr">
        <is>
          <t>Producer-organisation / cooperative member</t>
        </is>
      </c>
      <c r="D66" s="48" t="inlineStr">
        <is>
          <t>integer</t>
        </is>
      </c>
      <c r="E66" s="48" t="inlineStr">
        <is>
          <t>0/1</t>
        </is>
      </c>
      <c r="F66" s="22" t="inlineStr">
        <is>
          <t>Control and MGA grouping variable.</t>
        </is>
      </c>
    </row>
    <row r="67">
      <c r="A67" s="50" t="n">
        <v>64</v>
      </c>
      <c r="B67" s="50" t="inlineStr">
        <is>
          <t>OBJ1</t>
        </is>
      </c>
      <c r="C67" s="51" t="inlineStr">
        <is>
          <t>Loss ratio from records: rejected or lost ÷ taken in</t>
        </is>
      </c>
      <c r="D67" s="50" t="inlineStr">
        <is>
          <t>decimal</t>
        </is>
      </c>
      <c r="E67" s="50" t="inlineStr">
        <is>
          <t>0–1</t>
        </is>
      </c>
      <c r="F67" s="51" t="inlineStr">
        <is>
          <t>Objective subsample only; blank otherwise.</t>
        </is>
      </c>
    </row>
    <row r="68">
      <c r="A68" s="50" t="n">
        <v>65</v>
      </c>
      <c r="B68" s="50" t="inlineStr">
        <is>
          <t>OBJ2_qty</t>
        </is>
      </c>
      <c r="C68" s="51" t="inlineStr">
        <is>
          <t>By-product quantity sold last season (tonnes)</t>
        </is>
      </c>
      <c r="D68" s="50" t="inlineStr">
        <is>
          <t>decimal</t>
        </is>
      </c>
      <c r="E68" s="50" t="inlineStr">
        <is>
          <t>&gt;=0</t>
        </is>
      </c>
      <c r="F68" s="51" t="inlineStr">
        <is>
          <t>Objective subsample only.</t>
        </is>
      </c>
    </row>
    <row r="69">
      <c r="A69" s="50" t="n">
        <v>66</v>
      </c>
      <c r="B69" s="50" t="inlineStr">
        <is>
          <t>OBJ2_val</t>
        </is>
      </c>
      <c r="C69" s="51" t="inlineStr">
        <is>
          <t>By-product value realised last season (currency)</t>
        </is>
      </c>
      <c r="D69" s="50" t="inlineStr">
        <is>
          <t>decimal</t>
        </is>
      </c>
      <c r="E69" s="50" t="inlineStr">
        <is>
          <t>&gt;=0</t>
        </is>
      </c>
      <c r="F69" s="51" t="inlineStr">
        <is>
          <t>Objective subsample only.</t>
        </is>
      </c>
    </row>
    <row r="70">
      <c r="A70" s="50" t="n">
        <v>67</v>
      </c>
      <c r="B70" s="50" t="inlineStr">
        <is>
          <t>OBJ3</t>
        </is>
      </c>
      <c r="C70" s="51" t="inlineStr">
        <is>
          <t>Realised price ÷ district modal price</t>
        </is>
      </c>
      <c r="D70" s="50" t="inlineStr">
        <is>
          <t>decimal</t>
        </is>
      </c>
      <c r="E70" s="50" t="inlineStr">
        <is>
          <t>&gt;0</t>
        </is>
      </c>
      <c r="F70" s="51" t="inlineStr">
        <is>
          <t>Objective subsample only.</t>
        </is>
      </c>
    </row>
    <row r="71">
      <c r="A71" s="44" t="n">
        <v>68</v>
      </c>
      <c r="B71" s="44" t="inlineStr">
        <is>
          <t>NOTES</t>
        </is>
      </c>
      <c r="C71" s="45" t="inlineStr">
        <is>
          <t>Enumerator notes</t>
        </is>
      </c>
      <c r="D71" s="44" t="inlineStr">
        <is>
          <t>text</t>
        </is>
      </c>
      <c r="E71" s="44" t="inlineStr"/>
      <c r="F71" s="45" t="inlineStr">
        <is>
          <t>Optional. Not analysed.</t>
        </is>
      </c>
    </row>
  </sheetData>
  <autoFilter ref="A3:F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34" customWidth="1" min="3" max="3"/>
    <col width="8" customWidth="1" min="4" max="4"/>
    <col width="12" customWidth="1" min="5" max="5"/>
    <col width="88" customWidth="1" min="6" max="6"/>
    <col width="40" customWidth="1" min="7" max="7"/>
  </cols>
  <sheetData>
    <row r="1">
      <c r="A1" s="43" t="inlineStr">
        <is>
          <t>The 46-item instrument</t>
        </is>
      </c>
    </row>
    <row r="2" ht="46" customHeight="1">
      <c r="A2" s="52" t="inlineStr">
        <is>
          <t>RECONSTRUCTION — the instrument table is not present in JCLP_11_08_26.docx. These wordings satisfy every constraint the manuscript states (counts, dimensions, the 22/11/10/3 source split, and the item labels named in Section 5.5), but they are NOT retrieved from your file. Replace column F with your fielded wordings and keep the IDs aligned.</t>
        </is>
      </c>
    </row>
    <row r="4" ht="30" customHeight="1">
      <c r="A4" s="9" t="inlineStr">
        <is>
          <t>ID</t>
        </is>
      </c>
      <c r="B4" s="9" t="inlineStr">
        <is>
          <t>Construct</t>
        </is>
      </c>
      <c r="C4" s="9" t="inlineStr">
        <is>
          <t>Dimension</t>
        </is>
      </c>
      <c r="D4" s="9" t="inlineStr">
        <is>
          <t>Source</t>
        </is>
      </c>
      <c r="E4" s="9" t="inlineStr">
        <is>
          <t>R3 reworded?</t>
        </is>
      </c>
      <c r="F4" s="9" t="inlineStr">
        <is>
          <t>Item wording</t>
        </is>
      </c>
      <c r="G4" s="9" t="inlineStr">
        <is>
          <t>Watch for</t>
        </is>
      </c>
    </row>
    <row r="5">
      <c r="A5" s="53" t="inlineStr">
        <is>
          <t>CAC1</t>
        </is>
      </c>
      <c r="B5" s="53" t="inlineStr">
        <is>
          <t>CAC</t>
        </is>
      </c>
      <c r="C5" s="47" t="inlineStr">
        <is>
          <t>Material and resource-flow measurement</t>
        </is>
      </c>
      <c r="D5" s="53" t="inlineStr">
        <is>
          <t>AS</t>
        </is>
      </c>
      <c r="E5" s="53" t="inlineStr"/>
      <c r="F5" s="47" t="inlineStr">
        <is>
          <t>We keep a written or electronic record of the quantity of raw material we take in each season.</t>
        </is>
      </c>
      <c r="G5" s="47" t="inlineStr"/>
    </row>
    <row r="6">
      <c r="A6" s="53" t="inlineStr">
        <is>
          <t>CAC2</t>
        </is>
      </c>
      <c r="B6" s="53" t="inlineStr">
        <is>
          <t>CAC</t>
        </is>
      </c>
      <c r="C6" s="47" t="inlineStr">
        <is>
          <t>Material and resource-flow measurement</t>
        </is>
      </c>
      <c r="D6" s="53" t="inlineStr">
        <is>
          <t>AS</t>
        </is>
      </c>
      <c r="E6" s="23" t="inlineStr">
        <is>
          <t>yes</t>
        </is>
      </c>
      <c r="F6" s="47" t="inlineStr">
        <is>
          <t>We write down how much of what we handle is rejected, downgraded or lost.</t>
        </is>
      </c>
      <c r="G6" s="47" t="inlineStr">
        <is>
          <t>The one item quoted in your manuscript.</t>
        </is>
      </c>
    </row>
    <row r="7">
      <c r="A7" s="53" t="inlineStr">
        <is>
          <t>CAC3</t>
        </is>
      </c>
      <c r="B7" s="53" t="inlineStr">
        <is>
          <t>CAC</t>
        </is>
      </c>
      <c r="C7" s="47" t="inlineStr">
        <is>
          <t>Material and resource-flow measurement</t>
        </is>
      </c>
      <c r="D7" s="53" t="inlineStr">
        <is>
          <t>AS</t>
        </is>
      </c>
      <c r="E7" s="53" t="inlineStr"/>
      <c r="F7" s="47" t="inlineStr">
        <is>
          <t>We record what happens to the material that does not become saleable product — where it goes and who takes it.</t>
        </is>
      </c>
      <c r="G7" s="47" t="inlineStr"/>
    </row>
    <row r="8">
      <c r="A8" s="53" t="inlineStr">
        <is>
          <t>CAC4</t>
        </is>
      </c>
      <c r="B8" s="53" t="inlineStr">
        <is>
          <t>CAC</t>
        </is>
      </c>
      <c r="C8" s="47" t="inlineStr">
        <is>
          <t>Loss and waste costing</t>
        </is>
      </c>
      <c r="D8" s="53" t="inlineStr">
        <is>
          <t>AS</t>
        </is>
      </c>
      <c r="E8" s="53" t="inlineStr"/>
      <c r="F8" s="47" t="inlineStr">
        <is>
          <t>We work out what the material we lose or reject cost us to buy or to produce.</t>
        </is>
      </c>
      <c r="G8" s="47" t="inlineStr"/>
    </row>
    <row r="9">
      <c r="A9" s="53" t="inlineStr">
        <is>
          <t>CAC5</t>
        </is>
      </c>
      <c r="B9" s="53" t="inlineStr">
        <is>
          <t>CAC</t>
        </is>
      </c>
      <c r="C9" s="47" t="inlineStr">
        <is>
          <t>Loss and waste costing</t>
        </is>
      </c>
      <c r="D9" s="53" t="inlineStr">
        <is>
          <t>AS</t>
        </is>
      </c>
      <c r="E9" s="53" t="inlineStr"/>
      <c r="F9" s="47" t="inlineStr">
        <is>
          <t>We know what the rejected or lost material would have earned had it been sold as product.</t>
        </is>
      </c>
      <c r="G9" s="47" t="inlineStr"/>
    </row>
    <row r="10">
      <c r="A10" s="53" t="inlineStr">
        <is>
          <t>CAC6</t>
        </is>
      </c>
      <c r="B10" s="53" t="inlineStr">
        <is>
          <t>CAC</t>
        </is>
      </c>
      <c r="C10" s="47" t="inlineStr">
        <is>
          <t>Loss and waste costing</t>
        </is>
      </c>
      <c r="D10" s="53" t="inlineStr">
        <is>
          <t>ND</t>
        </is>
      </c>
      <c r="E10" s="53" t="inlineStr"/>
      <c r="F10" s="47" t="inlineStr">
        <is>
          <t>We keep the cost of losses separate from our general operating costs rather than absorbing it into overall cost.</t>
        </is>
      </c>
      <c r="G10" s="47" t="inlineStr"/>
    </row>
    <row r="11">
      <c r="A11" s="53" t="inlineStr">
        <is>
          <t>CAC7</t>
        </is>
      </c>
      <c r="B11" s="53" t="inlineStr">
        <is>
          <t>CAC</t>
        </is>
      </c>
      <c r="C11" s="47" t="inlineStr">
        <is>
          <t>Recovery and circular investment evaluation</t>
        </is>
      </c>
      <c r="D11" s="53" t="inlineStr">
        <is>
          <t>ND</t>
        </is>
      </c>
      <c r="E11" s="53" t="inlineStr"/>
      <c r="F11" s="47" t="inlineStr">
        <is>
          <t>Before deciding whether to recover a by-product or residue, we estimate what it could earn.</t>
        </is>
      </c>
      <c r="G11" s="47" t="inlineStr">
        <is>
          <t>New dimension; expert disagreement concentrated here.</t>
        </is>
      </c>
    </row>
    <row r="12">
      <c r="A12" s="53" t="inlineStr">
        <is>
          <t>CAC8</t>
        </is>
      </c>
      <c r="B12" s="53" t="inlineStr">
        <is>
          <t>CAC</t>
        </is>
      </c>
      <c r="C12" s="47" t="inlineStr">
        <is>
          <t>Recovery and circular investment evaluation</t>
        </is>
      </c>
      <c r="D12" s="53" t="inlineStr">
        <is>
          <t>ND</t>
        </is>
      </c>
      <c r="E12" s="53" t="inlineStr"/>
      <c r="F12" s="47" t="inlineStr">
        <is>
          <t>We compare the cost of recovering a residue against the cost of disposing of it.</t>
        </is>
      </c>
      <c r="G12" s="47" t="inlineStr">
        <is>
          <t>New dimension.</t>
        </is>
      </c>
    </row>
    <row r="13">
      <c r="A13" s="53" t="inlineStr">
        <is>
          <t>CAC9</t>
        </is>
      </c>
      <c r="B13" s="53" t="inlineStr">
        <is>
          <t>CAC</t>
        </is>
      </c>
      <c r="C13" s="47" t="inlineStr">
        <is>
          <t>Recovery and circular investment evaluation</t>
        </is>
      </c>
      <c r="D13" s="53" t="inlineStr">
        <is>
          <t>ND</t>
        </is>
      </c>
      <c r="E13" s="53" t="inlineStr"/>
      <c r="F13" s="47" t="inlineStr">
        <is>
          <t>When we consider equipment or capacity for processing residues, we work out whether the investment would pay back.</t>
        </is>
      </c>
      <c r="G13" s="47" t="inlineStr">
        <is>
          <t>New dimension.</t>
        </is>
      </c>
    </row>
    <row r="14">
      <c r="A14" s="53" t="inlineStr">
        <is>
          <t>CIT1</t>
        </is>
      </c>
      <c r="B14" s="53" t="inlineStr">
        <is>
          <t>CIT</t>
        </is>
      </c>
      <c r="C14" s="47" t="inlineStr">
        <is>
          <t>—</t>
        </is>
      </c>
      <c r="D14" s="53" t="inlineStr">
        <is>
          <t>AV</t>
        </is>
      </c>
      <c r="E14" s="53" t="inlineStr"/>
      <c r="F14" s="47" t="inlineStr">
        <is>
          <t>Partners we deal with can see how much material is rejected or lost at our stage.</t>
        </is>
      </c>
      <c r="G14" s="47" t="inlineStr"/>
    </row>
    <row r="15">
      <c r="A15" s="53" t="inlineStr">
        <is>
          <t>CIT2</t>
        </is>
      </c>
      <c r="B15" s="53" t="inlineStr">
        <is>
          <t>CIT</t>
        </is>
      </c>
      <c r="C15" s="47" t="inlineStr">
        <is>
          <t>—</t>
        </is>
      </c>
      <c r="D15" s="53" t="inlineStr">
        <is>
          <t>AV</t>
        </is>
      </c>
      <c r="E15" s="53" t="inlineStr"/>
      <c r="F15" s="47" t="inlineStr">
        <is>
          <t>We can see how much material is rejected or lost at the stages before and after us.</t>
        </is>
      </c>
      <c r="G15" s="47" t="inlineStr"/>
    </row>
    <row r="16">
      <c r="A16" s="53" t="inlineStr">
        <is>
          <t>CIT3</t>
        </is>
      </c>
      <c r="B16" s="53" t="inlineStr">
        <is>
          <t>CIT</t>
        </is>
      </c>
      <c r="C16" s="47" t="inlineStr">
        <is>
          <t>—</t>
        </is>
      </c>
      <c r="D16" s="53" t="inlineStr">
        <is>
          <t>AV</t>
        </is>
      </c>
      <c r="E16" s="23" t="inlineStr">
        <is>
          <t>yes</t>
        </is>
      </c>
      <c r="F16" s="47" t="inlineStr">
        <is>
          <t>Information about recoverable residues and by-products reaches the people who could use them, in time for them to act.</t>
        </is>
      </c>
      <c r="G16" s="47" t="inlineStr">
        <is>
          <t>Reached 0.975 after rewording.</t>
        </is>
      </c>
    </row>
    <row r="17">
      <c r="A17" s="53" t="inlineStr">
        <is>
          <t>CIT4</t>
        </is>
      </c>
      <c r="B17" s="53" t="inlineStr">
        <is>
          <t>CIT</t>
        </is>
      </c>
      <c r="C17" s="47" t="inlineStr">
        <is>
          <t>—</t>
        </is>
      </c>
      <c r="D17" s="53" t="inlineStr">
        <is>
          <t>AS</t>
        </is>
      </c>
      <c r="E17" s="53" t="inlineStr"/>
      <c r="F17" s="47" t="inlineStr">
        <is>
          <t>Information about material flows and losses in this chain is accurate and reliable enough to base a decision on.</t>
        </is>
      </c>
      <c r="G17" s="47" t="inlineStr"/>
    </row>
    <row r="18">
      <c r="A18" s="53" t="inlineStr">
        <is>
          <t>CIT5</t>
        </is>
      </c>
      <c r="B18" s="53" t="inlineStr">
        <is>
          <t>CIT</t>
        </is>
      </c>
      <c r="C18" s="47" t="inlineStr">
        <is>
          <t>—</t>
        </is>
      </c>
      <c r="D18" s="53" t="inlineStr">
        <is>
          <t>ND</t>
        </is>
      </c>
      <c r="E18" s="53" t="inlineStr"/>
      <c r="F18" s="47" t="inlineStr">
        <is>
          <t>We can see how the money paid for the final product is divided among the actors in this chain.</t>
        </is>
      </c>
      <c r="G18" s="47" t="inlineStr">
        <is>
          <t>Price rather than material information — most likely to behave differently.</t>
        </is>
      </c>
    </row>
    <row r="19">
      <c r="A19" s="53" t="inlineStr">
        <is>
          <t>CGQ1</t>
        </is>
      </c>
      <c r="B19" s="53" t="inlineStr">
        <is>
          <t>CGQ</t>
        </is>
      </c>
      <c r="C19" s="47" t="inlineStr">
        <is>
          <t>Responsibility allocation</t>
        </is>
      </c>
      <c r="D19" s="53" t="inlineStr">
        <is>
          <t>ND</t>
        </is>
      </c>
      <c r="E19" s="23" t="inlineStr">
        <is>
          <t>yes</t>
        </is>
      </c>
      <c r="F19" s="47" t="inlineStr">
        <is>
          <t>It is clear which party is answerable when material is lost or spoiled between us and our partners.</t>
        </is>
      </c>
      <c r="G19" s="47" t="inlineStr">
        <is>
          <t>The construct's diagnostic core.</t>
        </is>
      </c>
    </row>
    <row r="20">
      <c r="A20" s="53" t="inlineStr">
        <is>
          <t>CGQ2</t>
        </is>
      </c>
      <c r="B20" s="53" t="inlineStr">
        <is>
          <t>CGQ</t>
        </is>
      </c>
      <c r="C20" s="47" t="inlineStr">
        <is>
          <t>Joint monitoring and verification</t>
        </is>
      </c>
      <c r="D20" s="53" t="inlineStr">
        <is>
          <t>AV</t>
        </is>
      </c>
      <c r="E20" s="53" t="inlineStr"/>
      <c r="F20" s="47" t="inlineStr">
        <is>
          <t>Our partners and we jointly check the quantities and quality recorded when material changes hands.</t>
        </is>
      </c>
      <c r="G20" s="47" t="inlineStr"/>
    </row>
    <row r="21">
      <c r="A21" s="53" t="inlineStr">
        <is>
          <t>CGQ3</t>
        </is>
      </c>
      <c r="B21" s="53" t="inlineStr">
        <is>
          <t>CGQ</t>
        </is>
      </c>
      <c r="C21" s="47" t="inlineStr">
        <is>
          <t>Codified standards</t>
        </is>
      </c>
      <c r="D21" s="53" t="inlineStr">
        <is>
          <t>AS</t>
        </is>
      </c>
      <c r="E21" s="53" t="inlineStr"/>
      <c r="F21" s="47" t="inlineStr">
        <is>
          <t>What counts as an acceptable level of loss is agreed and recorded with our partners.</t>
        </is>
      </c>
      <c r="G21" s="47" t="inlineStr"/>
    </row>
    <row r="22">
      <c r="A22" s="53" t="inlineStr">
        <is>
          <t>CGQ4</t>
        </is>
      </c>
      <c r="B22" s="53" t="inlineStr">
        <is>
          <t>CGQ</t>
        </is>
      </c>
      <c r="C22" s="47" t="inlineStr">
        <is>
          <t>Participatory decision-making</t>
        </is>
      </c>
      <c r="D22" s="53" t="inlineStr">
        <is>
          <t>AV</t>
        </is>
      </c>
      <c r="E22" s="53" t="inlineStr"/>
      <c r="F22" s="47" t="inlineStr">
        <is>
          <t>We are able to take part in decisions that affect how material and losses are handled in this chain.</t>
        </is>
      </c>
      <c r="G22" s="47" t="inlineStr"/>
    </row>
    <row r="23">
      <c r="A23" s="53" t="inlineStr">
        <is>
          <t>CGQ5</t>
        </is>
      </c>
      <c r="B23" s="53" t="inlineStr">
        <is>
          <t>CGQ</t>
        </is>
      </c>
      <c r="C23" s="47" t="inlineStr">
        <is>
          <t>Participatory decision-making</t>
        </is>
      </c>
      <c r="D23" s="53" t="inlineStr">
        <is>
          <t>AV</t>
        </is>
      </c>
      <c r="E23" s="53" t="inlineStr"/>
      <c r="F23" s="47" t="inlineStr">
        <is>
          <t>Our views are taken into account when the terms of trade in this chain are set.</t>
        </is>
      </c>
      <c r="G23" s="47" t="inlineStr"/>
    </row>
    <row r="24">
      <c r="A24" s="53" t="inlineStr">
        <is>
          <t>CGQ6</t>
        </is>
      </c>
      <c r="B24" s="53" t="inlineStr">
        <is>
          <t>CGQ</t>
        </is>
      </c>
      <c r="C24" s="47" t="inlineStr">
        <is>
          <t>Enforceable commitment</t>
        </is>
      </c>
      <c r="D24" s="53" t="inlineStr">
        <is>
          <t>AV</t>
        </is>
      </c>
      <c r="E24" s="23" t="inlineStr">
        <is>
          <t>yes</t>
        </is>
      </c>
      <c r="F24" s="47" t="inlineStr">
        <is>
          <t>Commitments our partners make about handling, collection or payment are honoured, and there are consequences if they are not.</t>
        </is>
      </c>
      <c r="G24" s="47" t="inlineStr">
        <is>
          <t>Low ρA here attenuates the interaction directly.</t>
        </is>
      </c>
    </row>
    <row r="25">
      <c r="A25" s="53" t="inlineStr">
        <is>
          <t>CVCI1</t>
        </is>
      </c>
      <c r="B25" s="53" t="inlineStr">
        <is>
          <t>CVCI</t>
        </is>
      </c>
      <c r="C25" s="47" t="inlineStr">
        <is>
          <t>—</t>
        </is>
      </c>
      <c r="D25" s="53" t="inlineStr">
        <is>
          <t>AV</t>
        </is>
      </c>
      <c r="E25" s="53" t="inlineStr"/>
      <c r="F25" s="47" t="inlineStr">
        <is>
          <t>We plan jointly with partners how material that would otherwise be wasted will be collected and moved.</t>
        </is>
      </c>
      <c r="G25" s="47" t="inlineStr"/>
    </row>
    <row r="26">
      <c r="A26" s="53" t="inlineStr">
        <is>
          <t>CVCI2</t>
        </is>
      </c>
      <c r="B26" s="53" t="inlineStr">
        <is>
          <t>CVCI</t>
        </is>
      </c>
      <c r="C26" s="47" t="inlineStr">
        <is>
          <t>—</t>
        </is>
      </c>
      <c r="D26" s="53" t="inlineStr">
        <is>
          <t>AV</t>
        </is>
      </c>
      <c r="E26" s="23" t="inlineStr">
        <is>
          <t>yes</t>
        </is>
      </c>
      <c r="F26" s="47" t="inlineStr">
        <is>
          <t>We coordinate the timing of our operations with partners so that recoverable material is handled before it deteriorates.</t>
        </is>
      </c>
      <c r="G26" s="47" t="inlineStr"/>
    </row>
    <row r="27">
      <c r="A27" s="53" t="inlineStr">
        <is>
          <t>CVCI3</t>
        </is>
      </c>
      <c r="B27" s="53" t="inlineStr">
        <is>
          <t>CVCI</t>
        </is>
      </c>
      <c r="C27" s="47" t="inlineStr">
        <is>
          <t>—</t>
        </is>
      </c>
      <c r="D27" s="53" t="inlineStr">
        <is>
          <t>AV</t>
        </is>
      </c>
      <c r="E27" s="53" t="inlineStr"/>
      <c r="F27" s="47" t="inlineStr">
        <is>
          <t>We share equipment, storage or transport with partners for handling residues and by-products.</t>
        </is>
      </c>
      <c r="G27" s="47" t="inlineStr"/>
    </row>
    <row r="28">
      <c r="A28" s="53" t="inlineStr">
        <is>
          <t>CVCI4</t>
        </is>
      </c>
      <c r="B28" s="53" t="inlineStr">
        <is>
          <t>CVCI</t>
        </is>
      </c>
      <c r="C28" s="47" t="inlineStr">
        <is>
          <t>—</t>
        </is>
      </c>
      <c r="D28" s="53" t="inlineStr">
        <is>
          <t>AV</t>
        </is>
      </c>
      <c r="E28" s="53" t="inlineStr"/>
      <c r="F28" s="47" t="inlineStr">
        <is>
          <t>We and our partners exchange the information needed to route recoverable material to where it can be used.</t>
        </is>
      </c>
      <c r="G28" s="47" t="inlineStr">
        <is>
          <t>Watch for HTMT overlap with CIT.</t>
        </is>
      </c>
    </row>
    <row r="29">
      <c r="A29" s="53" t="inlineStr">
        <is>
          <t>CVCI5</t>
        </is>
      </c>
      <c r="B29" s="53" t="inlineStr">
        <is>
          <t>CVCI</t>
        </is>
      </c>
      <c r="C29" s="47" t="inlineStr">
        <is>
          <t>—</t>
        </is>
      </c>
      <c r="D29" s="53" t="inlineStr">
        <is>
          <t>AS</t>
        </is>
      </c>
      <c r="E29" s="53" t="inlineStr"/>
      <c r="F29" s="47" t="inlineStr">
        <is>
          <t>We agree with partners in advance how the proceeds from recovered material will be shared.</t>
        </is>
      </c>
      <c r="G29" s="47" t="inlineStr"/>
    </row>
    <row r="30">
      <c r="A30" s="53" t="inlineStr">
        <is>
          <t>CVCI6</t>
        </is>
      </c>
      <c r="B30" s="53" t="inlineStr">
        <is>
          <t>CVCI</t>
        </is>
      </c>
      <c r="C30" s="47" t="inlineStr">
        <is>
          <t>—</t>
        </is>
      </c>
      <c r="D30" s="53" t="inlineStr">
        <is>
          <t>AV</t>
        </is>
      </c>
      <c r="E30" s="53" t="inlineStr"/>
      <c r="F30" s="47" t="inlineStr">
        <is>
          <t>We work together with partners to find new uses for material that used to be discarded.</t>
        </is>
      </c>
      <c r="G30" s="47" t="inlineStr"/>
    </row>
    <row r="31">
      <c r="A31" s="53" t="inlineStr">
        <is>
          <t>CVCP1</t>
        </is>
      </c>
      <c r="B31" s="53" t="inlineStr">
        <is>
          <t>CVCP</t>
        </is>
      </c>
      <c r="C31" s="47" t="inlineStr">
        <is>
          <t>Economic</t>
        </is>
      </c>
      <c r="D31" s="53" t="inlineStr">
        <is>
          <t>AV</t>
        </is>
      </c>
      <c r="E31" s="53" t="inlineStr"/>
      <c r="F31" s="47" t="inlineStr">
        <is>
          <t>Income earned from selling by-products or residues that were previously discarded.</t>
        </is>
      </c>
      <c r="G31" s="47" t="inlineStr"/>
    </row>
    <row r="32">
      <c r="A32" s="53" t="inlineStr">
        <is>
          <t>CVCP2</t>
        </is>
      </c>
      <c r="B32" s="53" t="inlineStr">
        <is>
          <t>CVCP</t>
        </is>
      </c>
      <c r="C32" s="47" t="inlineStr">
        <is>
          <t>Economic</t>
        </is>
      </c>
      <c r="D32" s="53" t="inlineStr">
        <is>
          <t>AV</t>
        </is>
      </c>
      <c r="E32" s="53" t="inlineStr"/>
      <c r="F32" s="47" t="inlineStr">
        <is>
          <t>Savings from reusing material internally instead of buying new.</t>
        </is>
      </c>
      <c r="G32" s="47" t="inlineStr"/>
    </row>
    <row r="33">
      <c r="A33" s="53" t="inlineStr">
        <is>
          <t>CVCP3</t>
        </is>
      </c>
      <c r="B33" s="53" t="inlineStr">
        <is>
          <t>CVCP</t>
        </is>
      </c>
      <c r="C33" s="47" t="inlineStr">
        <is>
          <t>Economic</t>
        </is>
      </c>
      <c r="D33" s="53" t="inlineStr">
        <is>
          <t>AS</t>
        </is>
      </c>
      <c r="E33" s="53" t="inlineStr"/>
      <c r="F33" s="47" t="inlineStr">
        <is>
          <t>The price we realise for our main product.</t>
        </is>
      </c>
      <c r="G33" s="47" t="inlineStr"/>
    </row>
    <row r="34">
      <c r="A34" s="53" t="inlineStr">
        <is>
          <t>CVCP4</t>
        </is>
      </c>
      <c r="B34" s="53" t="inlineStr">
        <is>
          <t>CVCP</t>
        </is>
      </c>
      <c r="C34" s="47" t="inlineStr">
        <is>
          <t>Economic</t>
        </is>
      </c>
      <c r="D34" s="53" t="inlineStr">
        <is>
          <t>AS</t>
        </is>
      </c>
      <c r="E34" s="53" t="inlineStr"/>
      <c r="F34" s="47" t="inlineStr">
        <is>
          <t>Reduction in the cost of disposing of waste.</t>
        </is>
      </c>
      <c r="G34" s="47" t="inlineStr"/>
    </row>
    <row r="35">
      <c r="A35" s="53" t="inlineStr">
        <is>
          <t>CVCP5</t>
        </is>
      </c>
      <c r="B35" s="53" t="inlineStr">
        <is>
          <t>CVCP</t>
        </is>
      </c>
      <c r="C35" s="47" t="inlineStr">
        <is>
          <t>Environmental</t>
        </is>
      </c>
      <c r="D35" s="53" t="inlineStr">
        <is>
          <t>AV</t>
        </is>
      </c>
      <c r="E35" s="53" t="inlineStr"/>
      <c r="F35" s="47" t="inlineStr">
        <is>
          <t>Reduction in the quantity of material leaving our operation as waste.</t>
        </is>
      </c>
      <c r="G35" s="47" t="inlineStr"/>
    </row>
    <row r="36">
      <c r="A36" s="53" t="inlineStr">
        <is>
          <t>CVCP6</t>
        </is>
      </c>
      <c r="B36" s="53" t="inlineStr">
        <is>
          <t>CVCP</t>
        </is>
      </c>
      <c r="C36" s="47" t="inlineStr">
        <is>
          <t>Environmental</t>
        </is>
      </c>
      <c r="D36" s="53" t="inlineStr">
        <is>
          <t>AV</t>
        </is>
      </c>
      <c r="E36" s="53" t="inlineStr"/>
      <c r="F36" s="47" t="inlineStr">
        <is>
          <t>Reduction in the share of what we handle that is lost or spoiled.</t>
        </is>
      </c>
      <c r="G36" s="47" t="inlineStr"/>
    </row>
    <row r="37">
      <c r="A37" s="53" t="inlineStr">
        <is>
          <t>CVCP7</t>
        </is>
      </c>
      <c r="B37" s="53" t="inlineStr">
        <is>
          <t>CVCP</t>
        </is>
      </c>
      <c r="C37" s="47" t="inlineStr">
        <is>
          <t>Environmental</t>
        </is>
      </c>
      <c r="D37" s="53" t="inlineStr">
        <is>
          <t>AS</t>
        </is>
      </c>
      <c r="E37" s="53" t="inlineStr"/>
      <c r="F37" s="47" t="inlineStr">
        <is>
          <t>Reduction in the energy and water used per unit of product.</t>
        </is>
      </c>
      <c r="G37" s="47" t="inlineStr"/>
    </row>
    <row r="38">
      <c r="A38" s="53" t="inlineStr">
        <is>
          <t>CVCP8</t>
        </is>
      </c>
      <c r="B38" s="53" t="inlineStr">
        <is>
          <t>CVCP</t>
        </is>
      </c>
      <c r="C38" s="47" t="inlineStr">
        <is>
          <t>Environmental</t>
        </is>
      </c>
      <c r="D38" s="53" t="inlineStr">
        <is>
          <t>ND</t>
        </is>
      </c>
      <c r="E38" s="53" t="inlineStr"/>
      <c r="F38" s="47" t="inlineStr">
        <is>
          <t>Reduction in the quantity of residues sent to landfill, burned or dumped.</t>
        </is>
      </c>
      <c r="G38" s="47" t="inlineStr"/>
    </row>
    <row r="39">
      <c r="A39" s="53" t="inlineStr">
        <is>
          <t>CVCP9</t>
        </is>
      </c>
      <c r="B39" s="53" t="inlineStr">
        <is>
          <t>CVCP</t>
        </is>
      </c>
      <c r="C39" s="47" t="inlineStr">
        <is>
          <t>Social</t>
        </is>
      </c>
      <c r="D39" s="53" t="inlineStr">
        <is>
          <t>ND</t>
        </is>
      </c>
      <c r="E39" s="53" t="inlineStr"/>
      <c r="F39" s="47" t="inlineStr">
        <is>
          <t>The share of the value from recovered material that reaches the producers who supplied it.</t>
        </is>
      </c>
      <c r="G39" s="47" t="inlineStr">
        <is>
          <t>Weak SOC weight is a FINDING, not a failure.</t>
        </is>
      </c>
    </row>
    <row r="40">
      <c r="A40" s="53" t="inlineStr">
        <is>
          <t>CVCP10</t>
        </is>
      </c>
      <c r="B40" s="53" t="inlineStr">
        <is>
          <t>CVCP</t>
        </is>
      </c>
      <c r="C40" s="47" t="inlineStr">
        <is>
          <t>Social</t>
        </is>
      </c>
      <c r="D40" s="53" t="inlineStr">
        <is>
          <t>ND</t>
        </is>
      </c>
      <c r="E40" s="53" t="inlineStr"/>
      <c r="F40" s="47" t="inlineStr">
        <is>
          <t>Employment or paid work created by handling and processing recovered material.</t>
        </is>
      </c>
      <c r="G40" s="47" t="inlineStr"/>
    </row>
    <row r="41">
      <c r="A41" s="53" t="inlineStr">
        <is>
          <t>CVCP11</t>
        </is>
      </c>
      <c r="B41" s="53" t="inlineStr">
        <is>
          <t>CVCP</t>
        </is>
      </c>
      <c r="C41" s="47" t="inlineStr">
        <is>
          <t>Social</t>
        </is>
      </c>
      <c r="D41" s="53" t="inlineStr">
        <is>
          <t>ND</t>
        </is>
      </c>
      <c r="E41" s="53" t="inlineStr"/>
      <c r="F41" s="47" t="inlineStr">
        <is>
          <t>Fairness with which the gains from reducing losses are shared among the actors in this chain.</t>
        </is>
      </c>
      <c r="G41" s="47" t="inlineStr"/>
    </row>
    <row r="42">
      <c r="A42" s="19" t="inlineStr">
        <is>
          <t>DTC1</t>
        </is>
      </c>
      <c r="B42" s="19" t="inlineStr">
        <is>
          <t>DTC (control)</t>
        </is>
      </c>
      <c r="C42" s="22" t="inlineStr">
        <is>
          <t>—</t>
        </is>
      </c>
      <c r="D42" s="19" t="inlineStr">
        <is>
          <t>AV</t>
        </is>
      </c>
      <c r="E42" s="19" t="inlineStr"/>
      <c r="F42" s="22" t="inlineStr">
        <is>
          <t>We use digital tools — mobile apps, spreadsheets or software — to record the quantities we handle.</t>
        </is>
      </c>
      <c r="G42" s="22" t="inlineStr">
        <is>
          <t>If β(CAC→CIT) collapses when DTC enters, the paper's premise fails.</t>
        </is>
      </c>
    </row>
    <row r="43">
      <c r="A43" s="19" t="inlineStr">
        <is>
          <t>DTC2</t>
        </is>
      </c>
      <c r="B43" s="19" t="inlineStr">
        <is>
          <t>DTC (control)</t>
        </is>
      </c>
      <c r="C43" s="22" t="inlineStr">
        <is>
          <t>—</t>
        </is>
      </c>
      <c r="D43" s="19" t="inlineStr">
        <is>
          <t>AV</t>
        </is>
      </c>
      <c r="E43" s="19" t="inlineStr"/>
      <c r="F43" s="22" t="inlineStr">
        <is>
          <t>Material we handle can be traced back to its source using our records or codes.</t>
        </is>
      </c>
      <c r="G43" s="22" t="inlineStr"/>
    </row>
    <row r="44">
      <c r="A44" s="19" t="inlineStr">
        <is>
          <t>DTC3</t>
        </is>
      </c>
      <c r="B44" s="19" t="inlineStr">
        <is>
          <t>DTC (control)</t>
        </is>
      </c>
      <c r="C44" s="22" t="inlineStr">
        <is>
          <t>—</t>
        </is>
      </c>
      <c r="D44" s="19" t="inlineStr">
        <is>
          <t>AV</t>
        </is>
      </c>
      <c r="E44" s="19" t="inlineStr"/>
      <c r="F44" s="22" t="inlineStr">
        <is>
          <t>We can exchange records of quantities and quality with our partners electronically.</t>
        </is>
      </c>
      <c r="G44" s="22" t="inlineStr"/>
    </row>
    <row r="45">
      <c r="A45" s="19" t="inlineStr">
        <is>
          <t>IS1</t>
        </is>
      </c>
      <c r="B45" s="19" t="inlineStr">
        <is>
          <t>IS (control)</t>
        </is>
      </c>
      <c r="C45" s="22" t="inlineStr">
        <is>
          <t>—</t>
        </is>
      </c>
      <c r="D45" s="19" t="inlineStr">
        <is>
          <t>AV</t>
        </is>
      </c>
      <c r="E45" s="23" t="inlineStr">
        <is>
          <t>yes</t>
        </is>
      </c>
      <c r="F45" s="22" t="inlineStr">
        <is>
          <t>Government or industry bodies provide us with useful guidance on reducing losses and using residues.</t>
        </is>
      </c>
      <c r="G45" s="22" t="inlineStr"/>
    </row>
    <row r="46">
      <c r="A46" s="19" t="inlineStr">
        <is>
          <t>IS2</t>
        </is>
      </c>
      <c r="B46" s="19" t="inlineStr">
        <is>
          <t>IS (control)</t>
        </is>
      </c>
      <c r="C46" s="22" t="inlineStr">
        <is>
          <t>—</t>
        </is>
      </c>
      <c r="D46" s="19" t="inlineStr">
        <is>
          <t>AV</t>
        </is>
      </c>
      <c r="E46" s="15" t="inlineStr">
        <is>
          <t>no</t>
        </is>
      </c>
      <c r="F46" s="22" t="inlineStr">
        <is>
          <t>Training and technical advice on handling and processing residues are available to us.</t>
        </is>
      </c>
      <c r="G46" s="22" t="inlineStr">
        <is>
          <t>DOUBLE-BARRELLED, below threshold, never revised.</t>
        </is>
      </c>
    </row>
    <row r="47">
      <c r="A47" s="19" t="inlineStr">
        <is>
          <t>IS3</t>
        </is>
      </c>
      <c r="B47" s="19" t="inlineStr">
        <is>
          <t>IS (control)</t>
        </is>
      </c>
      <c r="C47" s="22" t="inlineStr">
        <is>
          <t>—</t>
        </is>
      </c>
      <c r="D47" s="19" t="inlineStr">
        <is>
          <t>AV</t>
        </is>
      </c>
      <c r="E47" s="15" t="inlineStr">
        <is>
          <t>no</t>
        </is>
      </c>
      <c r="F47" s="22" t="inlineStr">
        <is>
          <t>Financial support or subsidy is available for equipment that would let us process residues.</t>
        </is>
      </c>
      <c r="G47" s="22" t="inlineStr">
        <is>
          <t>DOUBLE-BARRELLED, below threshold, never revised.</t>
        </is>
      </c>
    </row>
    <row r="48">
      <c r="A48" s="19" t="inlineStr">
        <is>
          <t>MK1</t>
        </is>
      </c>
      <c r="B48" s="19" t="inlineStr">
        <is>
          <t>MK (marker)</t>
        </is>
      </c>
      <c r="C48" s="22" t="inlineStr">
        <is>
          <t>—</t>
        </is>
      </c>
      <c r="D48" s="19" t="inlineStr">
        <is>
          <t>MK</t>
        </is>
      </c>
      <c r="E48" s="15" t="inlineStr">
        <is>
          <t>no</t>
        </is>
      </c>
      <c r="F48" s="22" t="inlineStr">
        <is>
          <t>[Reproduce verbatim from Miller and Simmering 2023 — do not paraphrase]</t>
        </is>
      </c>
      <c r="G48" s="22" t="inlineStr">
        <is>
          <t>Low relevance is the QUALIFYING property of a marker.</t>
        </is>
      </c>
    </row>
    <row r="49">
      <c r="A49" s="19" t="inlineStr">
        <is>
          <t>MK2</t>
        </is>
      </c>
      <c r="B49" s="19" t="inlineStr">
        <is>
          <t>MK (marker)</t>
        </is>
      </c>
      <c r="C49" s="22" t="inlineStr">
        <is>
          <t>—</t>
        </is>
      </c>
      <c r="D49" s="19" t="inlineStr">
        <is>
          <t>MK</t>
        </is>
      </c>
      <c r="E49" s="19" t="inlineStr"/>
      <c r="F49" s="22" t="inlineStr">
        <is>
          <t>[Reproduce verbatim from Miller and Simmering 2023]</t>
        </is>
      </c>
      <c r="G49" s="22" t="inlineStr"/>
    </row>
    <row r="50">
      <c r="A50" s="19" t="inlineStr">
        <is>
          <t>MK3</t>
        </is>
      </c>
      <c r="B50" s="19" t="inlineStr">
        <is>
          <t>MK (marker)</t>
        </is>
      </c>
      <c r="C50" s="22" t="inlineStr">
        <is>
          <t>—</t>
        </is>
      </c>
      <c r="D50" s="19" t="inlineStr">
        <is>
          <t>MK</t>
        </is>
      </c>
      <c r="E50" s="23" t="inlineStr">
        <is>
          <t>yes</t>
        </is>
      </c>
      <c r="F50" s="22" t="inlineStr">
        <is>
          <t>[Reproduce verbatim from Miller and Simmering 2023]</t>
        </is>
      </c>
      <c r="G50" s="22" t="inlineStr"/>
    </row>
    <row r="52">
      <c r="A52" s="14" t="inlineStr">
        <is>
          <t>Source: AV = adapted from a validated scale (22). AS = validated item structure adapted to circular resource-flow content (11). ND = newly developed (10). MK = validated marker administered verbatim (3). Total 46, reproducing the split in Section 5.5.</t>
        </is>
      </c>
    </row>
  </sheetData>
  <mergeCells count="1">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P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0"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13" customWidth="1" min="57" max="57"/>
    <col width="14" customWidth="1" min="58" max="58"/>
    <col width="9" customWidth="1" min="59" max="59"/>
    <col width="9" customWidth="1" min="60" max="60"/>
    <col width="9" customWidth="1" min="61" max="61"/>
    <col width="9" customWidth="1" min="62" max="62"/>
    <col width="9" customWidth="1" min="63" max="63"/>
    <col width="9" customWidth="1" min="64" max="64"/>
    <col width="11" customWidth="1" min="65" max="65"/>
    <col width="11" customWidth="1" min="66" max="66"/>
    <col width="9" customWidth="1" min="67" max="67"/>
    <col width="9" customWidth="1" min="68" max="68"/>
  </cols>
  <sheetData>
    <row r="1" ht="34" customHeight="1">
      <c r="A1" s="54" t="inlineStr">
        <is>
          <t>ID</t>
        </is>
      </c>
      <c r="B1" s="54" t="inlineStr">
        <is>
          <t>DATE</t>
        </is>
      </c>
      <c r="C1" s="54" t="inlineStr">
        <is>
          <t>ENUM</t>
        </is>
      </c>
      <c r="D1" s="54" t="inlineStr">
        <is>
          <t>DUR_min</t>
        </is>
      </c>
      <c r="E1" s="54" t="inlineStr">
        <is>
          <t>STRATUM</t>
        </is>
      </c>
      <c r="F1" s="54" t="inlineStr">
        <is>
          <t>TIER</t>
        </is>
      </c>
      <c r="G1" s="54" t="inlineStr">
        <is>
          <t>SCR1</t>
        </is>
      </c>
      <c r="H1" s="54" t="inlineStr">
        <is>
          <t>SCR2</t>
        </is>
      </c>
      <c r="I1" s="54" t="inlineStr">
        <is>
          <t>SCR3</t>
        </is>
      </c>
      <c r="J1" s="54" t="inlineStr">
        <is>
          <t>SCR4</t>
        </is>
      </c>
      <c r="K1" s="54" t="inlineStr">
        <is>
          <t>CAC1</t>
        </is>
      </c>
      <c r="L1" s="54" t="inlineStr">
        <is>
          <t>CAC2</t>
        </is>
      </c>
      <c r="M1" s="54" t="inlineStr">
        <is>
          <t>CAC3</t>
        </is>
      </c>
      <c r="N1" s="54" t="inlineStr">
        <is>
          <t>CAC4</t>
        </is>
      </c>
      <c r="O1" s="54" t="inlineStr">
        <is>
          <t>CAC5</t>
        </is>
      </c>
      <c r="P1" s="54" t="inlineStr">
        <is>
          <t>CAC6</t>
        </is>
      </c>
      <c r="Q1" s="54" t="inlineStr">
        <is>
          <t>CAC7</t>
        </is>
      </c>
      <c r="R1" s="54" t="inlineStr">
        <is>
          <t>CAC8</t>
        </is>
      </c>
      <c r="S1" s="54" t="inlineStr">
        <is>
          <t>CAC9</t>
        </is>
      </c>
      <c r="T1" s="54" t="inlineStr">
        <is>
          <t>CIT1</t>
        </is>
      </c>
      <c r="U1" s="54" t="inlineStr">
        <is>
          <t>CIT2</t>
        </is>
      </c>
      <c r="V1" s="54" t="inlineStr">
        <is>
          <t>CIT3</t>
        </is>
      </c>
      <c r="W1" s="54" t="inlineStr">
        <is>
          <t>CIT4</t>
        </is>
      </c>
      <c r="X1" s="54" t="inlineStr">
        <is>
          <t>CIT5</t>
        </is>
      </c>
      <c r="Y1" s="54" t="inlineStr">
        <is>
          <t>CGQ1</t>
        </is>
      </c>
      <c r="Z1" s="54" t="inlineStr">
        <is>
          <t>CGQ2</t>
        </is>
      </c>
      <c r="AA1" s="54" t="inlineStr">
        <is>
          <t>CGQ3</t>
        </is>
      </c>
      <c r="AB1" s="54" t="inlineStr">
        <is>
          <t>CGQ4</t>
        </is>
      </c>
      <c r="AC1" s="54" t="inlineStr">
        <is>
          <t>CGQ5</t>
        </is>
      </c>
      <c r="AD1" s="54" t="inlineStr">
        <is>
          <t>CGQ6</t>
        </is>
      </c>
      <c r="AE1" s="54" t="inlineStr">
        <is>
          <t>CVCI1</t>
        </is>
      </c>
      <c r="AF1" s="54" t="inlineStr">
        <is>
          <t>CVCI2</t>
        </is>
      </c>
      <c r="AG1" s="54" t="inlineStr">
        <is>
          <t>CVCI3</t>
        </is>
      </c>
      <c r="AH1" s="54" t="inlineStr">
        <is>
          <t>CVCI4</t>
        </is>
      </c>
      <c r="AI1" s="54" t="inlineStr">
        <is>
          <t>CVCI5</t>
        </is>
      </c>
      <c r="AJ1" s="54" t="inlineStr">
        <is>
          <t>CVCI6</t>
        </is>
      </c>
      <c r="AK1" s="54" t="inlineStr">
        <is>
          <t>CVCP1</t>
        </is>
      </c>
      <c r="AL1" s="54" t="inlineStr">
        <is>
          <t>CVCP2</t>
        </is>
      </c>
      <c r="AM1" s="54" t="inlineStr">
        <is>
          <t>CVCP3</t>
        </is>
      </c>
      <c r="AN1" s="54" t="inlineStr">
        <is>
          <t>CVCP4</t>
        </is>
      </c>
      <c r="AO1" s="54" t="inlineStr">
        <is>
          <t>CVCP5</t>
        </is>
      </c>
      <c r="AP1" s="54" t="inlineStr">
        <is>
          <t>CVCP6</t>
        </is>
      </c>
      <c r="AQ1" s="54" t="inlineStr">
        <is>
          <t>CVCP7</t>
        </is>
      </c>
      <c r="AR1" s="54" t="inlineStr">
        <is>
          <t>CVCP8</t>
        </is>
      </c>
      <c r="AS1" s="54" t="inlineStr">
        <is>
          <t>CVCP9</t>
        </is>
      </c>
      <c r="AT1" s="54" t="inlineStr">
        <is>
          <t>CVCP10</t>
        </is>
      </c>
      <c r="AU1" s="54" t="inlineStr">
        <is>
          <t>CVCP11</t>
        </is>
      </c>
      <c r="AV1" s="54" t="inlineStr">
        <is>
          <t>DTC1</t>
        </is>
      </c>
      <c r="AW1" s="54" t="inlineStr">
        <is>
          <t>DTC2</t>
        </is>
      </c>
      <c r="AX1" s="54" t="inlineStr">
        <is>
          <t>DTC3</t>
        </is>
      </c>
      <c r="AY1" s="54" t="inlineStr">
        <is>
          <t>IS1</t>
        </is>
      </c>
      <c r="AZ1" s="54" t="inlineStr">
        <is>
          <t>IS2</t>
        </is>
      </c>
      <c r="BA1" s="54" t="inlineStr">
        <is>
          <t>IS3</t>
        </is>
      </c>
      <c r="BB1" s="54" t="inlineStr">
        <is>
          <t>MK1</t>
        </is>
      </c>
      <c r="BC1" s="54" t="inlineStr">
        <is>
          <t>MK2</t>
        </is>
      </c>
      <c r="BD1" s="54" t="inlineStr">
        <is>
          <t>MK3</t>
        </is>
      </c>
      <c r="BE1" s="54" t="inlineStr">
        <is>
          <t>CAC_GLOBAL</t>
        </is>
      </c>
      <c r="BF1" s="54" t="inlineStr">
        <is>
          <t>CVCP_GLOBAL</t>
        </is>
      </c>
      <c r="BG1" s="54" t="inlineStr">
        <is>
          <t>SIZE_n</t>
        </is>
      </c>
      <c r="BH1" s="54" t="inlineStr">
        <is>
          <t>AGE_yr</t>
        </is>
      </c>
      <c r="BI1" s="54" t="inlineStr">
        <is>
          <t>VOL_t</t>
        </is>
      </c>
      <c r="BJ1" s="54" t="inlineStr">
        <is>
          <t>EDU</t>
        </is>
      </c>
      <c r="BK1" s="54" t="inlineStr">
        <is>
          <t>AFF</t>
        </is>
      </c>
      <c r="BL1" s="54" t="inlineStr">
        <is>
          <t>OBJ1</t>
        </is>
      </c>
      <c r="BM1" s="54" t="inlineStr">
        <is>
          <t>OBJ2_qty</t>
        </is>
      </c>
      <c r="BN1" s="54" t="inlineStr">
        <is>
          <t>OBJ2_val</t>
        </is>
      </c>
      <c r="BO1" s="54" t="inlineStr">
        <is>
          <t>OBJ3</t>
        </is>
      </c>
      <c r="BP1" s="54" t="inlineStr">
        <is>
          <t>NOTES</t>
        </is>
      </c>
    </row>
  </sheetData>
  <dataValidations count="8">
    <dataValidation sqref="K2:K1001 L2:L1001 M2:M1001 N2:N1001 O2:O1001 P2:P1001 Q2:Q1001 R2:R1001 S2:S1001 T2:T1001 U2:U1001 V2:V1001 W2:W1001 X2:X1001 Y2:Y1001 Z2:Z1001 AA2:AA1001 AB2:AB1001 AC2:AC1001 AD2:AD1001 AE2:AE1001 AF2:AF1001 AG2:AG1001 AH2:AH1001 AI2:AI1001 AJ2:AJ1001 AK2:AK1001 AL2:AL1001 AM2:AM1001 AN2:AN1001 AO2:AO1001 AP2:AP1001 AQ2:AQ1001 AR2:AR1001 AS2:AS1001 AT2:AT1001 AU2:AU1001 AV2:AV1001 AW2:AW1001 AX2:AX1001 AY2:AY1001 AZ2:AZ1001 BA2:BA1001 BB2:BB1001 BC2:BC1001 BD2:BD1001 BE2:BE1001 BF2:BF1001" showDropDown="0" showInputMessage="0" showErrorMessage="1" allowBlank="1" errorTitle="Out of range" error="Seven-point scale: enter a whole number 1–7." type="whole" operator="between">
      <formula1>1</formula1>
      <formula2>7</formula2>
    </dataValidation>
    <dataValidation sqref="G2:G1001 H2:H1001 BK2:BK1001" showDropDown="0" showInputMessage="0" showErrorMessage="1" allowBlank="1" errorTitle="Binary" error="Enter 0 or 1." type="whole" operator="between">
      <formula1>0</formula1>
      <formula2>1</formula2>
    </dataValidation>
    <dataValidation sqref="E2:E1001" showDropDown="0" showInputMessage="0" showErrorMessage="1" allowBlank="1" errorTitle="Stratum 1–6" error="Enter a whole number 1–6. See 05_ValueLabels." type="whole" operator="between">
      <formula1>1</formula1>
      <formula2>6</formula2>
    </dataValidation>
    <dataValidation sqref="F2:F1001" showDropDown="0" showInputMessage="0" showErrorMessage="1" allowBlank="1" errorTitle="Tier 1–4" error="Enter a whole number 1–4. See 05_ValueLabels." type="whole" operator="between">
      <formula1>1</formula1>
      <formula2>4</formula2>
    </dataValidation>
    <dataValidation sqref="J2:J1001" showDropDown="0" showInputMessage="0" showErrorMessage="1" allowBlank="1" errorTitle="Role 1–6" error="Enter a whole number 1–6. See 05_ValueLabels." type="whole" operator="between">
      <formula1>1</formula1>
      <formula2>6</formula2>
    </dataValidation>
    <dataValidation sqref="BJ2:BJ1001" showDropDown="0" showInputMessage="0" showErrorMessage="1" allowBlank="1" errorTitle="Education 1–6" error="Enter a whole number 1–6. See 05_ValueLabels." type="whole" operator="between">
      <formula1>1</formula1>
      <formula2>6</formula2>
    </dataValidation>
    <dataValidation sqref="D2:D1001 I2:I1001 BG2:BG1001 BH2:BH1001 BI2:BI1001 BM2:BM1001 BN2:BN1001 BO2:BO1001" showDropDown="0" showInputMessage="0" showErrorMessage="1" allowBlank="1" errorTitle="Must be non-negative" error="Enter a value &gt;= 0." type="decimal" operator="greaterThanOrEqual">
      <formula1>0</formula1>
    </dataValidation>
    <dataValidation sqref="BL2:BL1001" showDropDown="0" showInputMessage="0" showErrorMessage="1" allowBlank="1" errorTitle="Ratio" error="Loss ratio must be between 0 and 1."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4" customWidth="1" min="1" max="1"/>
    <col width="8" customWidth="1" min="2" max="2"/>
    <col width="52" customWidth="1" min="3" max="3"/>
    <col width="66" customWidth="1" min="4" max="4"/>
  </cols>
  <sheetData>
    <row r="1">
      <c r="A1" s="43" t="inlineStr">
        <is>
          <t>Categorical coding</t>
        </is>
      </c>
    </row>
    <row r="3" ht="30" customHeight="1">
      <c r="A3" s="9" t="inlineStr">
        <is>
          <t>Variable</t>
        </is>
      </c>
      <c r="B3" s="9" t="inlineStr">
        <is>
          <t>Code</t>
        </is>
      </c>
      <c r="C3" s="9" t="inlineStr">
        <is>
          <t>Label</t>
        </is>
      </c>
      <c r="D3" s="9" t="inlineStr">
        <is>
          <t>Note</t>
        </is>
      </c>
    </row>
    <row r="4">
      <c r="A4" s="10" t="inlineStr">
        <is>
          <t>STRATUM</t>
        </is>
      </c>
      <c r="B4" s="10" t="n">
        <v>1</v>
      </c>
      <c r="C4" s="11" t="inlineStr">
        <is>
          <t>Producers, non-affiliated</t>
        </is>
      </c>
      <c r="D4" s="11" t="inlineStr">
        <is>
          <t>Target 180 (34.6%). MGA group: upstream.</t>
        </is>
      </c>
    </row>
    <row r="5">
      <c r="A5" s="10" t="inlineStr">
        <is>
          <t>STRATUM</t>
        </is>
      </c>
      <c r="B5" s="10" t="n">
        <v>2</v>
      </c>
      <c r="C5" s="11" t="inlineStr">
        <is>
          <t>Producers, producer-organisation members</t>
        </is>
      </c>
      <c r="D5" s="11" t="inlineStr">
        <is>
          <t>Target 120 (23.1%). MGA group: upstream with collective governance.</t>
        </is>
      </c>
    </row>
    <row r="6">
      <c r="A6" s="10" t="inlineStr">
        <is>
          <t>STRATUM</t>
        </is>
      </c>
      <c r="B6" s="10" t="n">
        <v>3</v>
      </c>
      <c r="C6" s="11" t="inlineStr">
        <is>
          <t>Aggregators, traders, commission agents</t>
        </is>
      </c>
      <c r="D6" s="11" t="inlineStr">
        <is>
          <t>Target 80 (15.4%). The information-asymmetry tier.</t>
        </is>
      </c>
    </row>
    <row r="7">
      <c r="A7" s="10" t="inlineStr">
        <is>
          <t>STRATUM</t>
        </is>
      </c>
      <c r="B7" s="10" t="n">
        <v>4</v>
      </c>
      <c r="C7" s="11" t="inlineStr">
        <is>
          <t>Processors and common facility centres</t>
        </is>
      </c>
      <c r="D7" s="11" t="inlineStr">
        <is>
          <t>Target 70 (13.5%). Manufacturing and recovery actors; deliberately over-sampled.</t>
        </is>
      </c>
    </row>
    <row r="8">
      <c r="A8" s="10" t="inlineStr">
        <is>
          <t>STRATUM</t>
        </is>
      </c>
      <c r="B8" s="10" t="n">
        <v>5</v>
      </c>
      <c r="C8" s="11" t="inlineStr">
        <is>
          <t>Retailers and institutional buyers</t>
        </is>
      </c>
      <c r="D8" s="11" t="inlineStr">
        <is>
          <t>Target 40 (7.7%). Downstream price-formation tier.</t>
        </is>
      </c>
    </row>
    <row r="9">
      <c r="A9" s="10" t="inlineStr">
        <is>
          <t>STRATUM</t>
        </is>
      </c>
      <c r="B9" s="10" t="n">
        <v>6</v>
      </c>
      <c r="C9" s="11" t="inlineStr">
        <is>
          <t>Network support institutions</t>
        </is>
      </c>
      <c r="D9" s="11" t="inlineStr">
        <is>
          <t>Target 30 (5.8%). EXCLUDED from group analysis.</t>
        </is>
      </c>
    </row>
    <row r="10">
      <c r="A10" s="10" t="inlineStr">
        <is>
          <t>TIER</t>
        </is>
      </c>
      <c r="B10" s="10" t="n">
        <v>1</v>
      </c>
      <c r="C10" s="11" t="inlineStr">
        <is>
          <t>Upstream producer</t>
        </is>
      </c>
      <c r="D10" s="11" t="inlineStr">
        <is>
          <t>Strata 1–2</t>
        </is>
      </c>
    </row>
    <row r="11">
      <c r="A11" s="10" t="inlineStr">
        <is>
          <t>TIER</t>
        </is>
      </c>
      <c r="B11" s="10" t="n">
        <v>2</v>
      </c>
      <c r="C11" s="11" t="inlineStr">
        <is>
          <t>Midstream intermediary</t>
        </is>
      </c>
      <c r="D11" s="11" t="inlineStr">
        <is>
          <t>Stratum 3</t>
        </is>
      </c>
    </row>
    <row r="12">
      <c r="A12" s="10" t="inlineStr">
        <is>
          <t>TIER</t>
        </is>
      </c>
      <c r="B12" s="10" t="n">
        <v>3</v>
      </c>
      <c r="C12" s="11" t="inlineStr">
        <is>
          <t>Processing / recovery</t>
        </is>
      </c>
      <c r="D12" s="11" t="inlineStr">
        <is>
          <t>Stratum 4</t>
        </is>
      </c>
    </row>
    <row r="13">
      <c r="A13" s="10" t="inlineStr">
        <is>
          <t>TIER</t>
        </is>
      </c>
      <c r="B13" s="10" t="n">
        <v>4</v>
      </c>
      <c r="C13" s="11" t="inlineStr">
        <is>
          <t>Downstream buyer</t>
        </is>
      </c>
      <c r="D13" s="11" t="inlineStr">
        <is>
          <t>Stratum 5</t>
        </is>
      </c>
    </row>
    <row r="14">
      <c r="A14" s="10" t="inlineStr">
        <is>
          <t>TIER</t>
        </is>
      </c>
      <c r="B14" s="10" t="inlineStr">
        <is>
          <t>(blank)</t>
        </is>
      </c>
      <c r="C14" s="11" t="inlineStr">
        <is>
          <t>Support institutions</t>
        </is>
      </c>
      <c r="D14" s="11" t="inlineStr">
        <is>
          <t>Stratum 6 — leave TIER blank; excluded from MGA.</t>
        </is>
      </c>
    </row>
    <row r="15">
      <c r="A15" s="10" t="inlineStr">
        <is>
          <t>EDU</t>
        </is>
      </c>
      <c r="B15" s="10" t="n">
        <v>1</v>
      </c>
      <c r="C15" s="11" t="inlineStr">
        <is>
          <t>No formal schooling</t>
        </is>
      </c>
      <c r="D15" s="11" t="inlineStr"/>
    </row>
    <row r="16">
      <c r="A16" s="10" t="inlineStr">
        <is>
          <t>EDU</t>
        </is>
      </c>
      <c r="B16" s="10" t="n">
        <v>2</v>
      </c>
      <c r="C16" s="11" t="inlineStr">
        <is>
          <t>Primary</t>
        </is>
      </c>
      <c r="D16" s="11" t="inlineStr"/>
    </row>
    <row r="17">
      <c r="A17" s="10" t="inlineStr">
        <is>
          <t>EDU</t>
        </is>
      </c>
      <c r="B17" s="10" t="n">
        <v>3</v>
      </c>
      <c r="C17" s="11" t="inlineStr">
        <is>
          <t>Secondary</t>
        </is>
      </c>
      <c r="D17" s="11" t="inlineStr"/>
    </row>
    <row r="18">
      <c r="A18" s="10" t="inlineStr">
        <is>
          <t>EDU</t>
        </is>
      </c>
      <c r="B18" s="10" t="n">
        <v>4</v>
      </c>
      <c r="C18" s="11" t="inlineStr">
        <is>
          <t>Higher secondary</t>
        </is>
      </c>
      <c r="D18" s="11" t="inlineStr"/>
    </row>
    <row r="19">
      <c r="A19" s="10" t="inlineStr">
        <is>
          <t>EDU</t>
        </is>
      </c>
      <c r="B19" s="10" t="n">
        <v>5</v>
      </c>
      <c r="C19" s="11" t="inlineStr">
        <is>
          <t>Graduate</t>
        </is>
      </c>
      <c r="D19" s="11" t="inlineStr"/>
    </row>
    <row r="20">
      <c r="A20" s="10" t="inlineStr">
        <is>
          <t>EDU</t>
        </is>
      </c>
      <c r="B20" s="10" t="n">
        <v>6</v>
      </c>
      <c r="C20" s="11" t="inlineStr">
        <is>
          <t>Postgraduate</t>
        </is>
      </c>
      <c r="D20" s="11" t="inlineStr"/>
    </row>
    <row r="21">
      <c r="A21" s="10" t="inlineStr">
        <is>
          <t>AFF</t>
        </is>
      </c>
      <c r="B21" s="10" t="n">
        <v>0</v>
      </c>
      <c r="C21" s="11" t="inlineStr">
        <is>
          <t>Not a member of a producer organisation or cooperative</t>
        </is>
      </c>
      <c r="D21" s="11" t="inlineStr"/>
    </row>
    <row r="22">
      <c r="A22" s="10" t="inlineStr">
        <is>
          <t>AFF</t>
        </is>
      </c>
      <c r="B22" s="10" t="n">
        <v>1</v>
      </c>
      <c r="C22" s="11" t="inlineStr">
        <is>
          <t>Member of a producer organisation or cooperative</t>
        </is>
      </c>
      <c r="D22" s="11" t="inlineStr">
        <is>
          <t>MGA grouping variable.</t>
        </is>
      </c>
    </row>
    <row r="23">
      <c r="A23" s="10" t="inlineStr">
        <is>
          <t>SCR1</t>
        </is>
      </c>
      <c r="B23" s="10" t="n">
        <v>0</v>
      </c>
      <c r="C23" s="11" t="inlineStr">
        <is>
          <t>No — not eligible</t>
        </is>
      </c>
      <c r="D23" s="11" t="inlineStr">
        <is>
          <t>Exclude the case.</t>
        </is>
      </c>
    </row>
    <row r="24">
      <c r="A24" s="10" t="inlineStr">
        <is>
          <t>SCR1</t>
        </is>
      </c>
      <c r="B24" s="10" t="n">
        <v>1</v>
      </c>
      <c r="C24" s="11" t="inlineStr">
        <is>
          <t>Yes — keeps or supervises records</t>
        </is>
      </c>
      <c r="D24" s="11" t="inlineStr"/>
    </row>
    <row r="25">
      <c r="A25" s="10" t="inlineStr">
        <is>
          <t>SCR2</t>
        </is>
      </c>
      <c r="B25" s="10" t="n">
        <v>0</v>
      </c>
      <c r="C25" s="11" t="inlineStr">
        <is>
          <t>No — not eligible</t>
        </is>
      </c>
      <c r="D25" s="11" t="inlineStr">
        <is>
          <t>Exclude the case.</t>
        </is>
      </c>
    </row>
    <row r="26">
      <c r="A26" s="10" t="inlineStr">
        <is>
          <t>SCR2</t>
        </is>
      </c>
      <c r="B26" s="10" t="n">
        <v>1</v>
      </c>
      <c r="C26" s="11" t="inlineStr">
        <is>
          <t>Yes — participates in pricing / disposal decisions</t>
        </is>
      </c>
      <c r="D26" s="11" t="inlineStr"/>
    </row>
    <row r="27">
      <c r="A27" s="10" t="inlineStr">
        <is>
          <t>SCR4</t>
        </is>
      </c>
      <c r="B27" s="10" t="inlineStr">
        <is>
          <t>1–6</t>
        </is>
      </c>
      <c r="C27" s="11" t="inlineStr">
        <is>
          <t>Same coding as STRATUM</t>
        </is>
      </c>
      <c r="D27" s="11" t="inlineStr">
        <is>
          <t>Self-described role; used to assign STRATUM.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40" customWidth="1" min="1" max="1"/>
    <col width="9" customWidth="1" min="2" max="2"/>
    <col width="11" customWidth="1" min="3" max="3"/>
    <col width="9" customWidth="1" min="4" max="4"/>
    <col width="13" customWidth="1" min="5" max="5"/>
    <col width="12" customWidth="1" min="6" max="6"/>
    <col width="9" customWidth="1" min="7" max="7"/>
    <col width="12" customWidth="1" min="8" max="8"/>
    <col width="13" customWidth="1" min="9" max="9"/>
    <col width="18" customWidth="1" min="10" max="10"/>
  </cols>
  <sheetData>
    <row r="1">
      <c r="A1" s="43" t="inlineStr">
        <is>
          <t>Fieldwork tracker and response accounting (feeds Table 9)</t>
        </is>
      </c>
    </row>
    <row r="2">
      <c r="A2" s="14" t="inlineStr">
        <is>
          <t>Enter columns C–G. Everything else calculates. Reviewers will ask for this reconciliation.</t>
        </is>
      </c>
    </row>
    <row r="4" ht="30" customHeight="1">
      <c r="A4" s="9" t="inlineStr">
        <is>
          <t>Stratum</t>
        </is>
      </c>
      <c r="B4" s="9" t="inlineStr">
        <is>
          <t>Target</t>
        </is>
      </c>
      <c r="C4" s="9" t="inlineStr">
        <is>
          <t>Contacted</t>
        </is>
      </c>
      <c r="D4" s="9" t="inlineStr">
        <is>
          <t>Refused</t>
        </is>
      </c>
      <c r="E4" s="9" t="inlineStr">
        <is>
          <t>Screened out</t>
        </is>
      </c>
      <c r="F4" s="9" t="inlineStr">
        <is>
          <t>Incomplete</t>
        </is>
      </c>
      <c r="G4" s="9" t="inlineStr">
        <is>
          <t>Valid</t>
        </is>
      </c>
      <c r="H4" s="9" t="inlineStr">
        <is>
          <t>Response rate</t>
        </is>
      </c>
      <c r="I4" s="9" t="inlineStr">
        <is>
          <t>% of achieved</t>
        </is>
      </c>
      <c r="J4" s="9" t="inlineStr">
        <is>
          <t>Shortfall vs target</t>
        </is>
      </c>
    </row>
    <row r="5">
      <c r="A5" s="55" t="inlineStr">
        <is>
          <t>1 Producers, non-affiliated</t>
        </is>
      </c>
      <c r="B5" s="55" t="n">
        <v>180</v>
      </c>
      <c r="C5" s="56" t="n"/>
      <c r="D5" s="56" t="n"/>
      <c r="E5" s="56" t="n"/>
      <c r="F5" s="56" t="n"/>
      <c r="G5" s="56" t="n"/>
      <c r="H5" s="57">
        <f>IF(C5=0,"",G5/C5)</f>
        <v/>
      </c>
      <c r="I5" s="57">
        <f>IF($G$11=0,"",G5/$G$11)</f>
        <v/>
      </c>
      <c r="J5" s="55">
        <f>G5-B5</f>
        <v/>
      </c>
    </row>
    <row r="6">
      <c r="A6" s="55" t="inlineStr">
        <is>
          <t>2 Producers, PO members</t>
        </is>
      </c>
      <c r="B6" s="55" t="n">
        <v>120</v>
      </c>
      <c r="C6" s="56" t="n"/>
      <c r="D6" s="56" t="n"/>
      <c r="E6" s="56" t="n"/>
      <c r="F6" s="56" t="n"/>
      <c r="G6" s="56" t="n"/>
      <c r="H6" s="57">
        <f>IF(C6=0,"",G6/C6)</f>
        <v/>
      </c>
      <c r="I6" s="57">
        <f>IF($G$11=0,"",G6/$G$11)</f>
        <v/>
      </c>
      <c r="J6" s="55">
        <f>G6-B6</f>
        <v/>
      </c>
    </row>
    <row r="7">
      <c r="A7" s="55" t="inlineStr">
        <is>
          <t>3 Aggregators, traders, agents</t>
        </is>
      </c>
      <c r="B7" s="55" t="n">
        <v>80</v>
      </c>
      <c r="C7" s="56" t="n"/>
      <c r="D7" s="56" t="n"/>
      <c r="E7" s="56" t="n"/>
      <c r="F7" s="56" t="n"/>
      <c r="G7" s="56" t="n"/>
      <c r="H7" s="57">
        <f>IF(C7=0,"",G7/C7)</f>
        <v/>
      </c>
      <c r="I7" s="57">
        <f>IF($G$11=0,"",G7/$G$11)</f>
        <v/>
      </c>
      <c r="J7" s="55">
        <f>G7-B7</f>
        <v/>
      </c>
    </row>
    <row r="8">
      <c r="A8" s="55" t="inlineStr">
        <is>
          <t>4 Processors and CFCs</t>
        </is>
      </c>
      <c r="B8" s="55" t="n">
        <v>70</v>
      </c>
      <c r="C8" s="56" t="n"/>
      <c r="D8" s="56" t="n"/>
      <c r="E8" s="56" t="n"/>
      <c r="F8" s="56" t="n"/>
      <c r="G8" s="56" t="n"/>
      <c r="H8" s="57">
        <f>IF(C8=0,"",G8/C8)</f>
        <v/>
      </c>
      <c r="I8" s="57">
        <f>IF($G$11=0,"",G8/$G$11)</f>
        <v/>
      </c>
      <c r="J8" s="55">
        <f>G8-B8</f>
        <v/>
      </c>
    </row>
    <row r="9">
      <c r="A9" s="55" t="inlineStr">
        <is>
          <t>5 Retailers and institutional buyers</t>
        </is>
      </c>
      <c r="B9" s="55" t="n">
        <v>40</v>
      </c>
      <c r="C9" s="56" t="n"/>
      <c r="D9" s="56" t="n"/>
      <c r="E9" s="56" t="n"/>
      <c r="F9" s="56" t="n"/>
      <c r="G9" s="56" t="n"/>
      <c r="H9" s="57">
        <f>IF(C9=0,"",G9/C9)</f>
        <v/>
      </c>
      <c r="I9" s="57">
        <f>IF($G$11=0,"",G9/$G$11)</f>
        <v/>
      </c>
      <c r="J9" s="55">
        <f>G9-B9</f>
        <v/>
      </c>
    </row>
    <row r="10">
      <c r="A10" s="55" t="inlineStr">
        <is>
          <t>6 Network support institutions</t>
        </is>
      </c>
      <c r="B10" s="55" t="n">
        <v>30</v>
      </c>
      <c r="C10" s="56" t="n"/>
      <c r="D10" s="56" t="n"/>
      <c r="E10" s="56" t="n"/>
      <c r="F10" s="56" t="n"/>
      <c r="G10" s="56" t="n"/>
      <c r="H10" s="57">
        <f>IF(C10=0,"",G10/C10)</f>
        <v/>
      </c>
      <c r="I10" s="57">
        <f>IF($G$11=0,"",G10/$G$11)</f>
        <v/>
      </c>
      <c r="J10" s="55">
        <f>G10-B10</f>
        <v/>
      </c>
    </row>
    <row r="11">
      <c r="A11" s="58" t="inlineStr">
        <is>
          <t>TOTAL</t>
        </is>
      </c>
      <c r="B11" s="58">
        <f>SUM(B5:B10)</f>
        <v/>
      </c>
      <c r="C11" s="58">
        <f>SUM(C5:C10)</f>
        <v/>
      </c>
      <c r="D11" s="58">
        <f>SUM(D5:D10)</f>
        <v/>
      </c>
      <c r="E11" s="58">
        <f>SUM(E5:E10)</f>
        <v/>
      </c>
      <c r="F11" s="58">
        <f>SUM(F5:F10)</f>
        <v/>
      </c>
      <c r="G11" s="58">
        <f>SUM(G5:G10)</f>
        <v/>
      </c>
      <c r="H11" s="59">
        <f>IF(C11=0,"",G11/C11)</f>
        <v/>
      </c>
      <c r="I11" s="60" t="n"/>
      <c r="J11" s="58">
        <f>G11-B11</f>
        <v/>
      </c>
    </row>
    <row r="13">
      <c r="A13" s="8" t="inlineStr">
        <is>
          <t>Achieved n verdict</t>
        </is>
      </c>
    </row>
    <row r="14">
      <c r="A14" s="55" t="inlineStr">
        <is>
          <t>Achieved valid n</t>
        </is>
      </c>
      <c r="B14" s="61">
        <f>G11</f>
        <v/>
      </c>
    </row>
    <row r="15">
      <c r="A15" s="55" t="inlineStr">
        <is>
          <t>Smallest detectable path β at power .80</t>
        </is>
      </c>
      <c r="B15" s="62">
        <f>IF(G11=0,"",2.486/SQRT(G11))</f>
        <v/>
      </c>
    </row>
    <row r="16">
      <c r="A16" s="55" t="inlineStr">
        <is>
          <t>Approach A satisfied (&gt;=434)</t>
        </is>
      </c>
      <c r="B16" s="61">
        <f>IF(G11=0,"",IF(G11&gt;=434,"YES","NO"))</f>
        <v/>
      </c>
    </row>
    <row r="17">
      <c r="A17" s="55" t="inlineStr">
        <is>
          <t>Approach B satisfied — BINDING (&gt;=511)</t>
        </is>
      </c>
      <c r="B17" s="61">
        <f>IF(G11=0,"",IF(G11&gt;=511,"YES","NO"))</f>
        <v/>
      </c>
    </row>
    <row r="18">
      <c r="A18" s="55" t="inlineStr">
        <is>
          <t>Approach C satisfied (&gt;=480)</t>
        </is>
      </c>
      <c r="B18" s="61">
        <f>IF(G11=0,"",IF(G11&gt;=480,"YES","NO"))</f>
        <v/>
      </c>
    </row>
    <row r="19">
      <c r="A19" s="55" t="inlineStr">
        <is>
          <t>Above stated minimum (&gt;=350)</t>
        </is>
      </c>
      <c r="B19" s="61">
        <f>IF(G11=0,"",IF(G11&gt;=350,"YES","BELOW MINIMUM"))</f>
        <v/>
      </c>
    </row>
    <row r="20">
      <c r="A20" s="55" t="inlineStr">
        <is>
          <t>MGA viable (smallest group &gt;=100)</t>
        </is>
      </c>
      <c r="B20" s="61" t="inlineStr">
        <is>
          <t>Check group sizes on 07_QualityChecks</t>
        </is>
      </c>
    </row>
    <row r="22" ht="44" customHeight="1">
      <c r="A22" s="7" t="inlineStr">
        <is>
          <t>If Approach B is not satisfied, do not delete the derivation from Section 5.4. Report the achieved n against all four approaches and add the minimum-detectable-interaction sentence from 01_SampleSize. Computing power against the interaction rather than the largest path is a strength; concealing a shortfall is not.</t>
        </is>
      </c>
    </row>
  </sheetData>
  <mergeCells count="1">
    <mergeCell ref="A22:J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04"/>
  <sheetViews>
    <sheetView workbookViewId="0">
      <pane ySplit="4" topLeftCell="A5" activePane="bottomLeft" state="frozen"/>
      <selection pane="bottomLeft" activeCell="A1" sqref="A1"/>
    </sheetView>
  </sheetViews>
  <sheetFormatPr baseColWidth="8" defaultRowHeight="15"/>
  <cols>
    <col width="7" customWidth="1" min="1" max="1"/>
    <col width="14" customWidth="1" min="2" max="2"/>
    <col width="20" customWidth="1" min="3" max="3"/>
    <col width="17" customWidth="1" min="4" max="4"/>
    <col width="10" customWidth="1" min="5" max="5"/>
    <col width="15" customWidth="1" min="6" max="6"/>
    <col width="15" customWidth="1" min="7" max="7"/>
    <col width="34" customWidth="1" min="8" max="8"/>
    <col width="34" customWidth="1" min="10" max="10"/>
    <col width="10" customWidth="1" min="11" max="11"/>
    <col width="10" customWidth="1" min="12" max="12"/>
    <col width="10" customWidth="1" min="13" max="13"/>
    <col width="10" customWidth="1" min="14" max="14"/>
    <col width="44" customWidth="1" min="15" max="15"/>
  </cols>
  <sheetData>
    <row r="1">
      <c r="A1" s="43" t="inlineStr">
        <is>
          <t>Live per-row diagnostics and construct dispersion</t>
        </is>
      </c>
    </row>
    <row r="2" ht="30" customHeight="1">
      <c r="A2" s="7" t="inlineStr">
        <is>
          <t>Formulas reference 04_DATA rows 2:1001. Flags are FLAG-AND-TEST, not delete — except eligibility and full straight-lining, which are exclusions under the pre-specified rules.</t>
        </is>
      </c>
    </row>
    <row r="4" ht="30" customHeight="1">
      <c r="A4" s="9" t="inlineStr">
        <is>
          <t>Row</t>
        </is>
      </c>
      <c r="B4" s="9" t="inlineStr">
        <is>
          <t>ID</t>
        </is>
      </c>
      <c r="C4" s="9" t="inlineStr">
        <is>
          <t>Eligible?</t>
        </is>
      </c>
      <c r="D4" s="9" t="inlineStr">
        <is>
          <t>Missing focal items</t>
        </is>
      </c>
      <c r="E4" s="9" t="inlineStr">
        <is>
          <t>% missing</t>
        </is>
      </c>
      <c r="F4" s="9" t="inlineStr">
        <is>
          <t>Straight-lining</t>
        </is>
      </c>
      <c r="G4" s="9" t="inlineStr">
        <is>
          <t>Fast completion</t>
        </is>
      </c>
      <c r="H4" s="9" t="inlineStr">
        <is>
          <t>Action</t>
        </is>
      </c>
      <c r="J4" s="31" t="inlineStr">
        <is>
          <t>Construct dispersion — CHECK CGQ FIRST</t>
        </is>
      </c>
    </row>
    <row r="5">
      <c r="A5" s="55" t="n">
        <v>2</v>
      </c>
      <c r="B5" s="55">
        <f>IF('04_DATA'!A2="","",'04_DATA'!A2)</f>
        <v/>
      </c>
      <c r="C5" s="55">
        <f>IF('04_DATA'!A2="","",IF(AND('04_DATA'!G2=1,'04_DATA'!H2=1,'04_DATA'!I2&gt;=3),"eligible","EXCLUDE"))</f>
        <v/>
      </c>
      <c r="D5" s="55">
        <f>IF('04_DATA'!A2="","",37-COUNT('04_DATA'!$K2:$AU2))</f>
        <v/>
      </c>
      <c r="E5" s="63">
        <f>IF('04_DATA'!A2="","",(37-COUNT('04_DATA'!$K2:$AU2))/37)</f>
        <v/>
      </c>
      <c r="F5" s="55">
        <f>IF('04_DATA'!A2="","",IF(AND(COUNT('04_DATA'!$K2:$AU2)=37,COUNTIF('04_DATA'!$K2:$AU2,INDEX('04_DATA'!$K2:$AU2,1))=37),"EXCLUDE","ok"))</f>
        <v/>
      </c>
      <c r="G5" s="55">
        <f>IF('04_DATA'!A2="","",IF('04_DATA'!D2&lt;PERCENTILE('04_DATA'!$D$2:$D$1001,0.05),"FLAG","ok"))</f>
        <v/>
      </c>
      <c r="H5" s="55">
        <f>IF('04_DATA'!A2="","",IF(OR(C5="EXCLUDE",F5="EXCLUDE"),"Exclude under pre-specified rule",IF(E5&gt;0.15,"Exclude: &gt;15% missing",IF(G5="FLAG","Retain; test in robustness battery","Retain"))))</f>
        <v/>
      </c>
      <c r="J5" s="9" t="inlineStr">
        <is>
          <t>Construct</t>
        </is>
      </c>
      <c r="K5" s="9" t="inlineStr">
        <is>
          <t>Mean</t>
        </is>
      </c>
      <c r="L5" s="9" t="inlineStr">
        <is>
          <t>SD</t>
        </is>
      </c>
      <c r="M5" s="9" t="inlineStr">
        <is>
          <t>Min</t>
        </is>
      </c>
      <c r="N5" s="9" t="inlineStr">
        <is>
          <t>Max</t>
        </is>
      </c>
      <c r="O5" s="9" t="inlineStr">
        <is>
          <t>Interpretation</t>
        </is>
      </c>
    </row>
    <row r="6">
      <c r="A6" s="55" t="n">
        <v>3</v>
      </c>
      <c r="B6" s="55">
        <f>IF('04_DATA'!A3="","",'04_DATA'!A3)</f>
        <v/>
      </c>
      <c r="C6" s="55">
        <f>IF('04_DATA'!A3="","",IF(AND('04_DATA'!G3=1,'04_DATA'!H3=1,'04_DATA'!I3&gt;=3),"eligible","EXCLUDE"))</f>
        <v/>
      </c>
      <c r="D6" s="55">
        <f>IF('04_DATA'!A3="","",37-COUNT('04_DATA'!$K3:$AU3))</f>
        <v/>
      </c>
      <c r="E6" s="63">
        <f>IF('04_DATA'!A3="","",(37-COUNT('04_DATA'!$K3:$AU3))/37)</f>
        <v/>
      </c>
      <c r="F6" s="55">
        <f>IF('04_DATA'!A3="","",IF(AND(COUNT('04_DATA'!$K3:$AU3)=37,COUNTIF('04_DATA'!$K3:$AU3,INDEX('04_DATA'!$K3:$AU3,1))=37),"EXCLUDE","ok"))</f>
        <v/>
      </c>
      <c r="G6" s="55">
        <f>IF('04_DATA'!A3="","",IF('04_DATA'!D3&lt;PERCENTILE('04_DATA'!$D$2:$D$1001,0.05),"FLAG","ok"))</f>
        <v/>
      </c>
      <c r="H6" s="55">
        <f>IF('04_DATA'!A3="","",IF(OR(C6="EXCLUDE",F6="EXCLUDE"),"Exclude under pre-specified rule",IF(E6&gt;0.15,"Exclude: &gt;15% missing",IF(G6="FLAG","Retain; test in robustness battery","Retain"))))</f>
        <v/>
      </c>
      <c r="J6" s="55" t="inlineStr">
        <is>
          <t>Circular accounting capability</t>
        </is>
      </c>
      <c r="K6" s="64">
        <f>IFERROR(AVERAGE('04_DATA'!$K$2:$S$1001),"")</f>
        <v/>
      </c>
      <c r="L6" s="64">
        <f>IFERROR(STDEV('04_DATA'!$K$2:$S$1001),"")</f>
        <v/>
      </c>
      <c r="M6" s="65">
        <f>IFERROR(MIN('04_DATA'!$K$2:$S$1001),"")</f>
        <v/>
      </c>
      <c r="N6" s="65">
        <f>IFERROR(MAX('04_DATA'!$K$2:$S$1001),"")</f>
        <v/>
      </c>
      <c r="O6" s="66" t="inlineStr"/>
    </row>
    <row r="7">
      <c r="A7" s="55" t="n">
        <v>4</v>
      </c>
      <c r="B7" s="55">
        <f>IF('04_DATA'!A4="","",'04_DATA'!A4)</f>
        <v/>
      </c>
      <c r="C7" s="55">
        <f>IF('04_DATA'!A4="","",IF(AND('04_DATA'!G4=1,'04_DATA'!H4=1,'04_DATA'!I4&gt;=3),"eligible","EXCLUDE"))</f>
        <v/>
      </c>
      <c r="D7" s="55">
        <f>IF('04_DATA'!A4="","",37-COUNT('04_DATA'!$K4:$AU4))</f>
        <v/>
      </c>
      <c r="E7" s="63">
        <f>IF('04_DATA'!A4="","",(37-COUNT('04_DATA'!$K4:$AU4))/37)</f>
        <v/>
      </c>
      <c r="F7" s="55">
        <f>IF('04_DATA'!A4="","",IF(AND(COUNT('04_DATA'!$K4:$AU4)=37,COUNTIF('04_DATA'!$K4:$AU4,INDEX('04_DATA'!$K4:$AU4,1))=37),"EXCLUDE","ok"))</f>
        <v/>
      </c>
      <c r="G7" s="55">
        <f>IF('04_DATA'!A4="","",IF('04_DATA'!D4&lt;PERCENTILE('04_DATA'!$D$2:$D$1001,0.05),"FLAG","ok"))</f>
        <v/>
      </c>
      <c r="H7" s="55">
        <f>IF('04_DATA'!A4="","",IF(OR(C7="EXCLUDE",F7="EXCLUDE"),"Exclude under pre-specified rule",IF(E7&gt;0.15,"Exclude: &gt;15% missing",IF(G7="FLAG","Retain; test in robustness battery","Retain"))))</f>
        <v/>
      </c>
      <c r="J7" s="55" t="inlineStr">
        <is>
          <t>Circular information transparency</t>
        </is>
      </c>
      <c r="K7" s="64">
        <f>IFERROR(AVERAGE('04_DATA'!$T$2:$X$1001),"")</f>
        <v/>
      </c>
      <c r="L7" s="64">
        <f>IFERROR(STDEV('04_DATA'!$T$2:$X$1001),"")</f>
        <v/>
      </c>
      <c r="M7" s="65">
        <f>IFERROR(MIN('04_DATA'!$T$2:$X$1001),"")</f>
        <v/>
      </c>
      <c r="N7" s="65">
        <f>IFERROR(MAX('04_DATA'!$T$2:$X$1001),"")</f>
        <v/>
      </c>
      <c r="O7" s="66" t="inlineStr"/>
    </row>
    <row r="8" ht="44" customHeight="1">
      <c r="A8" s="55" t="n">
        <v>5</v>
      </c>
      <c r="B8" s="55">
        <f>IF('04_DATA'!A5="","",'04_DATA'!A5)</f>
        <v/>
      </c>
      <c r="C8" s="55">
        <f>IF('04_DATA'!A5="","",IF(AND('04_DATA'!G5=1,'04_DATA'!H5=1,'04_DATA'!I5&gt;=3),"eligible","EXCLUDE"))</f>
        <v/>
      </c>
      <c r="D8" s="55">
        <f>IF('04_DATA'!A5="","",37-COUNT('04_DATA'!$K5:$AU5))</f>
        <v/>
      </c>
      <c r="E8" s="63">
        <f>IF('04_DATA'!A5="","",(37-COUNT('04_DATA'!$K5:$AU5))/37)</f>
        <v/>
      </c>
      <c r="F8" s="55">
        <f>IF('04_DATA'!A5="","",IF(AND(COUNT('04_DATA'!$K5:$AU5)=37,COUNTIF('04_DATA'!$K5:$AU5,INDEX('04_DATA'!$K5:$AU5,1))=37),"EXCLUDE","ok"))</f>
        <v/>
      </c>
      <c r="G8" s="55">
        <f>IF('04_DATA'!A5="","",IF('04_DATA'!D5&lt;PERCENTILE('04_DATA'!$D$2:$D$1001,0.05),"FLAG","ok"))</f>
        <v/>
      </c>
      <c r="H8" s="55">
        <f>IF('04_DATA'!A5="","",IF(OR(C8="EXCLUDE",F8="EXCLUDE"),"Exclude under pre-specified rule",IF(E8&gt;0.15,"Exclude: &gt;15% missing",IF(G8="FLAG","Retain; test in robustness battery","Retain"))))</f>
        <v/>
      </c>
      <c r="J8" s="67" t="inlineStr">
        <is>
          <t>Circular governance quality</t>
        </is>
      </c>
      <c r="K8" s="68">
        <f>IFERROR(AVERAGE('04_DATA'!$Y$2:$AD$1001),"")</f>
        <v/>
      </c>
      <c r="L8" s="68">
        <f>IFERROR(STDEV('04_DATA'!$Y$2:$AD$1001),"")</f>
        <v/>
      </c>
      <c r="M8" s="69">
        <f>IFERROR(MIN('04_DATA'!$Y$2:$AD$1001),"")</f>
        <v/>
      </c>
      <c r="N8" s="69">
        <f>IFERROR(MAX('04_DATA'!$Y$2:$AD$1001),"")</f>
        <v/>
      </c>
      <c r="O8" s="70" t="inlineStr">
        <is>
          <t>THE DESIGN DEPENDS ON THIS SD BEING LARGE. If it is small or the range is narrow, the interaction cannot be detected and you must say so before reporting any null.</t>
        </is>
      </c>
    </row>
    <row r="9">
      <c r="A9" s="55" t="n">
        <v>6</v>
      </c>
      <c r="B9" s="55">
        <f>IF('04_DATA'!A6="","",'04_DATA'!A6)</f>
        <v/>
      </c>
      <c r="C9" s="55">
        <f>IF('04_DATA'!A6="","",IF(AND('04_DATA'!G6=1,'04_DATA'!H6=1,'04_DATA'!I6&gt;=3),"eligible","EXCLUDE"))</f>
        <v/>
      </c>
      <c r="D9" s="55">
        <f>IF('04_DATA'!A6="","",37-COUNT('04_DATA'!$K6:$AU6))</f>
        <v/>
      </c>
      <c r="E9" s="63">
        <f>IF('04_DATA'!A6="","",(37-COUNT('04_DATA'!$K6:$AU6))/37)</f>
        <v/>
      </c>
      <c r="F9" s="55">
        <f>IF('04_DATA'!A6="","",IF(AND(COUNT('04_DATA'!$K6:$AU6)=37,COUNTIF('04_DATA'!$K6:$AU6,INDEX('04_DATA'!$K6:$AU6,1))=37),"EXCLUDE","ok"))</f>
        <v/>
      </c>
      <c r="G9" s="55">
        <f>IF('04_DATA'!A6="","",IF('04_DATA'!D6&lt;PERCENTILE('04_DATA'!$D$2:$D$1001,0.05),"FLAG","ok"))</f>
        <v/>
      </c>
      <c r="H9" s="55">
        <f>IF('04_DATA'!A6="","",IF(OR(C9="EXCLUDE",F9="EXCLUDE"),"Exclude under pre-specified rule",IF(E9&gt;0.15,"Exclude: &gt;15% missing",IF(G9="FLAG","Retain; test in robustness battery","Retain"))))</f>
        <v/>
      </c>
      <c r="J9" s="55" t="inlineStr">
        <is>
          <t>Circular value-chain integration</t>
        </is>
      </c>
      <c r="K9" s="64">
        <f>IFERROR(AVERAGE('04_DATA'!$AE$2:$AJ$1001),"")</f>
        <v/>
      </c>
      <c r="L9" s="64">
        <f>IFERROR(STDEV('04_DATA'!$AE$2:$AJ$1001),"")</f>
        <v/>
      </c>
      <c r="M9" s="65">
        <f>IFERROR(MIN('04_DATA'!$AE$2:$AJ$1001),"")</f>
        <v/>
      </c>
      <c r="N9" s="65">
        <f>IFERROR(MAX('04_DATA'!$AE$2:$AJ$1001),"")</f>
        <v/>
      </c>
      <c r="O9" s="66" t="inlineStr"/>
    </row>
    <row r="10">
      <c r="A10" s="55" t="n">
        <v>7</v>
      </c>
      <c r="B10" s="55">
        <f>IF('04_DATA'!A7="","",'04_DATA'!A7)</f>
        <v/>
      </c>
      <c r="C10" s="55">
        <f>IF('04_DATA'!A7="","",IF(AND('04_DATA'!G7=1,'04_DATA'!H7=1,'04_DATA'!I7&gt;=3),"eligible","EXCLUDE"))</f>
        <v/>
      </c>
      <c r="D10" s="55">
        <f>IF('04_DATA'!A7="","",37-COUNT('04_DATA'!$K7:$AU7))</f>
        <v/>
      </c>
      <c r="E10" s="63">
        <f>IF('04_DATA'!A7="","",(37-COUNT('04_DATA'!$K7:$AU7))/37)</f>
        <v/>
      </c>
      <c r="F10" s="55">
        <f>IF('04_DATA'!A7="","",IF(AND(COUNT('04_DATA'!$K7:$AU7)=37,COUNTIF('04_DATA'!$K7:$AU7,INDEX('04_DATA'!$K7:$AU7,1))=37),"EXCLUDE","ok"))</f>
        <v/>
      </c>
      <c r="G10" s="55">
        <f>IF('04_DATA'!A7="","",IF('04_DATA'!D7&lt;PERCENTILE('04_DATA'!$D$2:$D$1001,0.05),"FLAG","ok"))</f>
        <v/>
      </c>
      <c r="H10" s="55">
        <f>IF('04_DATA'!A7="","",IF(OR(C10="EXCLUDE",F10="EXCLUDE"),"Exclude under pre-specified rule",IF(E10&gt;0.15,"Exclude: &gt;15% missing",IF(G10="FLAG","Retain; test in robustness battery","Retain"))))</f>
        <v/>
      </c>
      <c r="J10" s="55" t="inlineStr">
        <is>
          <t>Circular value creation performance</t>
        </is>
      </c>
      <c r="K10" s="64">
        <f>IFERROR(AVERAGE('04_DATA'!$AK$2:$AU$1001),"")</f>
        <v/>
      </c>
      <c r="L10" s="64">
        <f>IFERROR(STDEV('04_DATA'!$AK$2:$AU$1001),"")</f>
        <v/>
      </c>
      <c r="M10" s="65">
        <f>IFERROR(MIN('04_DATA'!$AK$2:$AU$1001),"")</f>
        <v/>
      </c>
      <c r="N10" s="65">
        <f>IFERROR(MAX('04_DATA'!$AK$2:$AU$1001),"")</f>
        <v/>
      </c>
      <c r="O10" s="66" t="inlineStr"/>
    </row>
    <row r="11">
      <c r="A11" s="55" t="n">
        <v>8</v>
      </c>
      <c r="B11" s="55">
        <f>IF('04_DATA'!A8="","",'04_DATA'!A8)</f>
        <v/>
      </c>
      <c r="C11" s="55">
        <f>IF('04_DATA'!A8="","",IF(AND('04_DATA'!G8=1,'04_DATA'!H8=1,'04_DATA'!I8&gt;=3),"eligible","EXCLUDE"))</f>
        <v/>
      </c>
      <c r="D11" s="55">
        <f>IF('04_DATA'!A8="","",37-COUNT('04_DATA'!$K8:$AU8))</f>
        <v/>
      </c>
      <c r="E11" s="63">
        <f>IF('04_DATA'!A8="","",(37-COUNT('04_DATA'!$K8:$AU8))/37)</f>
        <v/>
      </c>
      <c r="F11" s="55">
        <f>IF('04_DATA'!A8="","",IF(AND(COUNT('04_DATA'!$K8:$AU8)=37,COUNTIF('04_DATA'!$K8:$AU8,INDEX('04_DATA'!$K8:$AU8,1))=37),"EXCLUDE","ok"))</f>
        <v/>
      </c>
      <c r="G11" s="55">
        <f>IF('04_DATA'!A8="","",IF('04_DATA'!D8&lt;PERCENTILE('04_DATA'!$D$2:$D$1001,0.05),"FLAG","ok"))</f>
        <v/>
      </c>
      <c r="H11" s="55">
        <f>IF('04_DATA'!A8="","",IF(OR(C11="EXCLUDE",F11="EXCLUDE"),"Exclude under pre-specified rule",IF(E11&gt;0.15,"Exclude: &gt;15% missing",IF(G11="FLAG","Retain; test in robustness battery","Retain"))))</f>
        <v/>
      </c>
      <c r="J11" s="55" t="inlineStr">
        <is>
          <t>Digital traceability capability</t>
        </is>
      </c>
      <c r="K11" s="64">
        <f>IFERROR(AVERAGE('04_DATA'!$AV$2:$AX$1001),"")</f>
        <v/>
      </c>
      <c r="L11" s="64">
        <f>IFERROR(STDEV('04_DATA'!$AV$2:$AX$1001),"")</f>
        <v/>
      </c>
      <c r="M11" s="65">
        <f>IFERROR(MIN('04_DATA'!$AV$2:$AX$1001),"")</f>
        <v/>
      </c>
      <c r="N11" s="65">
        <f>IFERROR(MAX('04_DATA'!$AV$2:$AX$1001),"")</f>
        <v/>
      </c>
      <c r="O11" s="66" t="inlineStr"/>
    </row>
    <row r="12">
      <c r="A12" s="55" t="n">
        <v>9</v>
      </c>
      <c r="B12" s="55">
        <f>IF('04_DATA'!A9="","",'04_DATA'!A9)</f>
        <v/>
      </c>
      <c r="C12" s="55">
        <f>IF('04_DATA'!A9="","",IF(AND('04_DATA'!G9=1,'04_DATA'!H9=1,'04_DATA'!I9&gt;=3),"eligible","EXCLUDE"))</f>
        <v/>
      </c>
      <c r="D12" s="55">
        <f>IF('04_DATA'!A9="","",37-COUNT('04_DATA'!$K9:$AU9))</f>
        <v/>
      </c>
      <c r="E12" s="63">
        <f>IF('04_DATA'!A9="","",(37-COUNT('04_DATA'!$K9:$AU9))/37)</f>
        <v/>
      </c>
      <c r="F12" s="55">
        <f>IF('04_DATA'!A9="","",IF(AND(COUNT('04_DATA'!$K9:$AU9)=37,COUNTIF('04_DATA'!$K9:$AU9,INDEX('04_DATA'!$K9:$AU9,1))=37),"EXCLUDE","ok"))</f>
        <v/>
      </c>
      <c r="G12" s="55">
        <f>IF('04_DATA'!A9="","",IF('04_DATA'!D9&lt;PERCENTILE('04_DATA'!$D$2:$D$1001,0.05),"FLAG","ok"))</f>
        <v/>
      </c>
      <c r="H12" s="55">
        <f>IF('04_DATA'!A9="","",IF(OR(C12="EXCLUDE",F12="EXCLUDE"),"Exclude under pre-specified rule",IF(E12&gt;0.15,"Exclude: &gt;15% missing",IF(G12="FLAG","Retain; test in robustness battery","Retain"))))</f>
        <v/>
      </c>
    </row>
    <row r="13">
      <c r="A13" s="55" t="n">
        <v>10</v>
      </c>
      <c r="B13" s="55">
        <f>IF('04_DATA'!A10="","",'04_DATA'!A10)</f>
        <v/>
      </c>
      <c r="C13" s="55">
        <f>IF('04_DATA'!A10="","",IF(AND('04_DATA'!G10=1,'04_DATA'!H10=1,'04_DATA'!I10&gt;=3),"eligible","EXCLUDE"))</f>
        <v/>
      </c>
      <c r="D13" s="55">
        <f>IF('04_DATA'!A10="","",37-COUNT('04_DATA'!$K10:$AU10))</f>
        <v/>
      </c>
      <c r="E13" s="63">
        <f>IF('04_DATA'!A10="","",(37-COUNT('04_DATA'!$K10:$AU10))/37)</f>
        <v/>
      </c>
      <c r="F13" s="55">
        <f>IF('04_DATA'!A10="","",IF(AND(COUNT('04_DATA'!$K10:$AU10)=37,COUNTIF('04_DATA'!$K10:$AU10,INDEX('04_DATA'!$K10:$AU10,1))=37),"EXCLUDE","ok"))</f>
        <v/>
      </c>
      <c r="G13" s="55">
        <f>IF('04_DATA'!A10="","",IF('04_DATA'!D10&lt;PERCENTILE('04_DATA'!$D$2:$D$1001,0.05),"FLAG","ok"))</f>
        <v/>
      </c>
      <c r="H13" s="55">
        <f>IF('04_DATA'!A10="","",IF(OR(C13="EXCLUDE",F13="EXCLUDE"),"Exclude under pre-specified rule",IF(E13&gt;0.15,"Exclude: &gt;15% missing",IF(G13="FLAG","Retain; test in robustness battery","Retain"))))</f>
        <v/>
      </c>
    </row>
    <row r="14">
      <c r="A14" s="55" t="n">
        <v>11</v>
      </c>
      <c r="B14" s="55">
        <f>IF('04_DATA'!A11="","",'04_DATA'!A11)</f>
        <v/>
      </c>
      <c r="C14" s="55">
        <f>IF('04_DATA'!A11="","",IF(AND('04_DATA'!G11=1,'04_DATA'!H11=1,'04_DATA'!I11&gt;=3),"eligible","EXCLUDE"))</f>
        <v/>
      </c>
      <c r="D14" s="55">
        <f>IF('04_DATA'!A11="","",37-COUNT('04_DATA'!$K11:$AU11))</f>
        <v/>
      </c>
      <c r="E14" s="63">
        <f>IF('04_DATA'!A11="","",(37-COUNT('04_DATA'!$K11:$AU11))/37)</f>
        <v/>
      </c>
      <c r="F14" s="55">
        <f>IF('04_DATA'!A11="","",IF(AND(COUNT('04_DATA'!$K11:$AU11)=37,COUNTIF('04_DATA'!$K11:$AU11,INDEX('04_DATA'!$K11:$AU11,1))=37),"EXCLUDE","ok"))</f>
        <v/>
      </c>
      <c r="G14" s="55">
        <f>IF('04_DATA'!A11="","",IF('04_DATA'!D11&lt;PERCENTILE('04_DATA'!$D$2:$D$1001,0.05),"FLAG","ok"))</f>
        <v/>
      </c>
      <c r="H14" s="55">
        <f>IF('04_DATA'!A11="","",IF(OR(C14="EXCLUDE",F14="EXCLUDE"),"Exclude under pre-specified rule",IF(E14&gt;0.15,"Exclude: &gt;15% missing",IF(G14="FLAG","Retain; test in robustness battery","Retain"))))</f>
        <v/>
      </c>
      <c r="J14" s="8" t="inlineStr">
        <is>
          <t>MGA group sizes (need &gt;=100 per group)</t>
        </is>
      </c>
    </row>
    <row r="15">
      <c r="A15" s="55" t="n">
        <v>12</v>
      </c>
      <c r="B15" s="55">
        <f>IF('04_DATA'!A12="","",'04_DATA'!A12)</f>
        <v/>
      </c>
      <c r="C15" s="55">
        <f>IF('04_DATA'!A12="","",IF(AND('04_DATA'!G12=1,'04_DATA'!H12=1,'04_DATA'!I12&gt;=3),"eligible","EXCLUDE"))</f>
        <v/>
      </c>
      <c r="D15" s="55">
        <f>IF('04_DATA'!A12="","",37-COUNT('04_DATA'!$K12:$AU12))</f>
        <v/>
      </c>
      <c r="E15" s="63">
        <f>IF('04_DATA'!A12="","",(37-COUNT('04_DATA'!$K12:$AU12))/37)</f>
        <v/>
      </c>
      <c r="F15" s="55">
        <f>IF('04_DATA'!A12="","",IF(AND(COUNT('04_DATA'!$K12:$AU12)=37,COUNTIF('04_DATA'!$K12:$AU12,INDEX('04_DATA'!$K12:$AU12,1))=37),"EXCLUDE","ok"))</f>
        <v/>
      </c>
      <c r="G15" s="55">
        <f>IF('04_DATA'!A12="","",IF('04_DATA'!D12&lt;PERCENTILE('04_DATA'!$D$2:$D$1001,0.05),"FLAG","ok"))</f>
        <v/>
      </c>
      <c r="H15" s="55">
        <f>IF('04_DATA'!A12="","",IF(OR(C15="EXCLUDE",F15="EXCLUDE"),"Exclude under pre-specified rule",IF(E15&gt;0.15,"Exclude: &gt;15% missing",IF(G15="FLAG","Retain; test in robustness battery","Retain"))))</f>
        <v/>
      </c>
      <c r="J15" s="55" t="inlineStr">
        <is>
          <t>AFF = 1 (PO member)</t>
        </is>
      </c>
      <c r="K15" s="61">
        <f>COUNTIF('04_DATA'!$BK$2:$BK$1001,1)</f>
        <v/>
      </c>
      <c r="L15" s="55">
        <f>IF(K15&gt;=100,"viable","under-powered")</f>
        <v/>
      </c>
    </row>
    <row r="16">
      <c r="A16" s="55" t="n">
        <v>13</v>
      </c>
      <c r="B16" s="55">
        <f>IF('04_DATA'!A13="","",'04_DATA'!A13)</f>
        <v/>
      </c>
      <c r="C16" s="55">
        <f>IF('04_DATA'!A13="","",IF(AND('04_DATA'!G13=1,'04_DATA'!H13=1,'04_DATA'!I13&gt;=3),"eligible","EXCLUDE"))</f>
        <v/>
      </c>
      <c r="D16" s="55">
        <f>IF('04_DATA'!A13="","",37-COUNT('04_DATA'!$K13:$AU13))</f>
        <v/>
      </c>
      <c r="E16" s="63">
        <f>IF('04_DATA'!A13="","",(37-COUNT('04_DATA'!$K13:$AU13))/37)</f>
        <v/>
      </c>
      <c r="F16" s="55">
        <f>IF('04_DATA'!A13="","",IF(AND(COUNT('04_DATA'!$K13:$AU13)=37,COUNTIF('04_DATA'!$K13:$AU13,INDEX('04_DATA'!$K13:$AU13,1))=37),"EXCLUDE","ok"))</f>
        <v/>
      </c>
      <c r="G16" s="55">
        <f>IF('04_DATA'!A13="","",IF('04_DATA'!D13&lt;PERCENTILE('04_DATA'!$D$2:$D$1001,0.05),"FLAG","ok"))</f>
        <v/>
      </c>
      <c r="H16" s="55">
        <f>IF('04_DATA'!A13="","",IF(OR(C16="EXCLUDE",F16="EXCLUDE"),"Exclude under pre-specified rule",IF(E16&gt;0.15,"Exclude: &gt;15% missing",IF(G16="FLAG","Retain; test in robustness battery","Retain"))))</f>
        <v/>
      </c>
      <c r="J16" s="55" t="inlineStr">
        <is>
          <t>AFF = 0 (not affiliated)</t>
        </is>
      </c>
      <c r="K16" s="61">
        <f>COUNTIF('04_DATA'!$BK$2:$BK$1001,0)</f>
        <v/>
      </c>
      <c r="L16" s="55">
        <f>IF(K16&gt;=100,"viable","under-powered")</f>
        <v/>
      </c>
    </row>
    <row r="17">
      <c r="A17" s="55" t="n">
        <v>14</v>
      </c>
      <c r="B17" s="55">
        <f>IF('04_DATA'!A14="","",'04_DATA'!A14)</f>
        <v/>
      </c>
      <c r="C17" s="55">
        <f>IF('04_DATA'!A14="","",IF(AND('04_DATA'!G14=1,'04_DATA'!H14=1,'04_DATA'!I14&gt;=3),"eligible","EXCLUDE"))</f>
        <v/>
      </c>
      <c r="D17" s="55">
        <f>IF('04_DATA'!A14="","",37-COUNT('04_DATA'!$K14:$AU14))</f>
        <v/>
      </c>
      <c r="E17" s="63">
        <f>IF('04_DATA'!A14="","",(37-COUNT('04_DATA'!$K14:$AU14))/37)</f>
        <v/>
      </c>
      <c r="F17" s="55">
        <f>IF('04_DATA'!A14="","",IF(AND(COUNT('04_DATA'!$K14:$AU14)=37,COUNTIF('04_DATA'!$K14:$AU14,INDEX('04_DATA'!$K14:$AU14,1))=37),"EXCLUDE","ok"))</f>
        <v/>
      </c>
      <c r="G17" s="55">
        <f>IF('04_DATA'!A14="","",IF('04_DATA'!D14&lt;PERCENTILE('04_DATA'!$D$2:$D$1001,0.05),"FLAG","ok"))</f>
        <v/>
      </c>
      <c r="H17" s="55">
        <f>IF('04_DATA'!A14="","",IF(OR(C17="EXCLUDE",F17="EXCLUDE"),"Exclude under pre-specified rule",IF(E17&gt;0.15,"Exclude: &gt;15% missing",IF(G17="FLAG","Retain; test in robustness battery","Retain"))))</f>
        <v/>
      </c>
      <c r="J17" s="55" t="inlineStr">
        <is>
          <t>TIER 1 upstream</t>
        </is>
      </c>
      <c r="K17" s="61">
        <f>COUNTIF('04_DATA'!$F$2:$F$1001,1)</f>
        <v/>
      </c>
      <c r="L17" s="55">
        <f>IF(K17&gt;=100,"viable","under-powered")</f>
        <v/>
      </c>
    </row>
    <row r="18">
      <c r="A18" s="55" t="n">
        <v>15</v>
      </c>
      <c r="B18" s="55">
        <f>IF('04_DATA'!A15="","",'04_DATA'!A15)</f>
        <v/>
      </c>
      <c r="C18" s="55">
        <f>IF('04_DATA'!A15="","",IF(AND('04_DATA'!G15=1,'04_DATA'!H15=1,'04_DATA'!I15&gt;=3),"eligible","EXCLUDE"))</f>
        <v/>
      </c>
      <c r="D18" s="55">
        <f>IF('04_DATA'!A15="","",37-COUNT('04_DATA'!$K15:$AU15))</f>
        <v/>
      </c>
      <c r="E18" s="63">
        <f>IF('04_DATA'!A15="","",(37-COUNT('04_DATA'!$K15:$AU15))/37)</f>
        <v/>
      </c>
      <c r="F18" s="55">
        <f>IF('04_DATA'!A15="","",IF(AND(COUNT('04_DATA'!$K15:$AU15)=37,COUNTIF('04_DATA'!$K15:$AU15,INDEX('04_DATA'!$K15:$AU15,1))=37),"EXCLUDE","ok"))</f>
        <v/>
      </c>
      <c r="G18" s="55">
        <f>IF('04_DATA'!A15="","",IF('04_DATA'!D15&lt;PERCENTILE('04_DATA'!$D$2:$D$1001,0.05),"FLAG","ok"))</f>
        <v/>
      </c>
      <c r="H18" s="55">
        <f>IF('04_DATA'!A15="","",IF(OR(C18="EXCLUDE",F18="EXCLUDE"),"Exclude under pre-specified rule",IF(E18&gt;0.15,"Exclude: &gt;15% missing",IF(G18="FLAG","Retain; test in robustness battery","Retain"))))</f>
        <v/>
      </c>
      <c r="J18" s="55" t="inlineStr">
        <is>
          <t>TIER 2 midstream</t>
        </is>
      </c>
      <c r="K18" s="61">
        <f>COUNTIF('04_DATA'!$F$2:$F$1001,2)</f>
        <v/>
      </c>
      <c r="L18" s="55">
        <f>IF(K18&gt;=100,"viable","under-powered")</f>
        <v/>
      </c>
    </row>
    <row r="19">
      <c r="A19" s="55" t="n">
        <v>16</v>
      </c>
      <c r="B19" s="55">
        <f>IF('04_DATA'!A16="","",'04_DATA'!A16)</f>
        <v/>
      </c>
      <c r="C19" s="55">
        <f>IF('04_DATA'!A16="","",IF(AND('04_DATA'!G16=1,'04_DATA'!H16=1,'04_DATA'!I16&gt;=3),"eligible","EXCLUDE"))</f>
        <v/>
      </c>
      <c r="D19" s="55">
        <f>IF('04_DATA'!A16="","",37-COUNT('04_DATA'!$K16:$AU16))</f>
        <v/>
      </c>
      <c r="E19" s="63">
        <f>IF('04_DATA'!A16="","",(37-COUNT('04_DATA'!$K16:$AU16))/37)</f>
        <v/>
      </c>
      <c r="F19" s="55">
        <f>IF('04_DATA'!A16="","",IF(AND(COUNT('04_DATA'!$K16:$AU16)=37,COUNTIF('04_DATA'!$K16:$AU16,INDEX('04_DATA'!$K16:$AU16,1))=37),"EXCLUDE","ok"))</f>
        <v/>
      </c>
      <c r="G19" s="55">
        <f>IF('04_DATA'!A16="","",IF('04_DATA'!D16&lt;PERCENTILE('04_DATA'!$D$2:$D$1001,0.05),"FLAG","ok"))</f>
        <v/>
      </c>
      <c r="H19" s="55">
        <f>IF('04_DATA'!A16="","",IF(OR(C19="EXCLUDE",F19="EXCLUDE"),"Exclude under pre-specified rule",IF(E19&gt;0.15,"Exclude: &gt;15% missing",IF(G19="FLAG","Retain; test in robustness battery","Retain"))))</f>
        <v/>
      </c>
      <c r="J19" s="55" t="inlineStr">
        <is>
          <t>TIER 3 processing / recovery</t>
        </is>
      </c>
      <c r="K19" s="61">
        <f>COUNTIF('04_DATA'!$F$2:$F$1001,3)</f>
        <v/>
      </c>
      <c r="L19" s="55">
        <f>IF(K19&gt;=100,"viable","under-powered")</f>
        <v/>
      </c>
    </row>
    <row r="20">
      <c r="A20" s="55" t="n">
        <v>17</v>
      </c>
      <c r="B20" s="55">
        <f>IF('04_DATA'!A17="","",'04_DATA'!A17)</f>
        <v/>
      </c>
      <c r="C20" s="55">
        <f>IF('04_DATA'!A17="","",IF(AND('04_DATA'!G17=1,'04_DATA'!H17=1,'04_DATA'!I17&gt;=3),"eligible","EXCLUDE"))</f>
        <v/>
      </c>
      <c r="D20" s="55">
        <f>IF('04_DATA'!A17="","",37-COUNT('04_DATA'!$K17:$AU17))</f>
        <v/>
      </c>
      <c r="E20" s="63">
        <f>IF('04_DATA'!A17="","",(37-COUNT('04_DATA'!$K17:$AU17))/37)</f>
        <v/>
      </c>
      <c r="F20" s="55">
        <f>IF('04_DATA'!A17="","",IF(AND(COUNT('04_DATA'!$K17:$AU17)=37,COUNTIF('04_DATA'!$K17:$AU17,INDEX('04_DATA'!$K17:$AU17,1))=37),"EXCLUDE","ok"))</f>
        <v/>
      </c>
      <c r="G20" s="55">
        <f>IF('04_DATA'!A17="","",IF('04_DATA'!D17&lt;PERCENTILE('04_DATA'!$D$2:$D$1001,0.05),"FLAG","ok"))</f>
        <v/>
      </c>
      <c r="H20" s="55">
        <f>IF('04_DATA'!A17="","",IF(OR(C20="EXCLUDE",F20="EXCLUDE"),"Exclude under pre-specified rule",IF(E20&gt;0.15,"Exclude: &gt;15% missing",IF(G20="FLAG","Retain; test in robustness battery","Retain"))))</f>
        <v/>
      </c>
      <c r="J20" s="55" t="inlineStr">
        <is>
          <t>TIER 4 downstream</t>
        </is>
      </c>
      <c r="K20" s="61">
        <f>COUNTIF('04_DATA'!$F$2:$F$1001,4)</f>
        <v/>
      </c>
      <c r="L20" s="55">
        <f>IF(K20&gt;=100,"viable","under-powered")</f>
        <v/>
      </c>
    </row>
    <row r="21">
      <c r="A21" s="55" t="n">
        <v>18</v>
      </c>
      <c r="B21" s="55">
        <f>IF('04_DATA'!A18="","",'04_DATA'!A18)</f>
        <v/>
      </c>
      <c r="C21" s="55">
        <f>IF('04_DATA'!A18="","",IF(AND('04_DATA'!G18=1,'04_DATA'!H18=1,'04_DATA'!I18&gt;=3),"eligible","EXCLUDE"))</f>
        <v/>
      </c>
      <c r="D21" s="55">
        <f>IF('04_DATA'!A18="","",37-COUNT('04_DATA'!$K18:$AU18))</f>
        <v/>
      </c>
      <c r="E21" s="63">
        <f>IF('04_DATA'!A18="","",(37-COUNT('04_DATA'!$K18:$AU18))/37)</f>
        <v/>
      </c>
      <c r="F21" s="55">
        <f>IF('04_DATA'!A18="","",IF(AND(COUNT('04_DATA'!$K18:$AU18)=37,COUNTIF('04_DATA'!$K18:$AU18,INDEX('04_DATA'!$K18:$AU18,1))=37),"EXCLUDE","ok"))</f>
        <v/>
      </c>
      <c r="G21" s="55">
        <f>IF('04_DATA'!A18="","",IF('04_DATA'!D18&lt;PERCENTILE('04_DATA'!$D$2:$D$1001,0.05),"FLAG","ok"))</f>
        <v/>
      </c>
      <c r="H21" s="55">
        <f>IF('04_DATA'!A18="","",IF(OR(C21="EXCLUDE",F21="EXCLUDE"),"Exclude under pre-specified rule",IF(E21&gt;0.15,"Exclude: &gt;15% missing",IF(G21="FLAG","Retain; test in robustness battery","Retain"))))</f>
        <v/>
      </c>
      <c r="J21" s="7" t="inlineStr">
        <is>
          <t>Do NOT run the producer-versus-processor comparison: with ~70 processors it needs β ≥ 0.30. Your manuscript states it will not be conducted and why. Honour that.</t>
        </is>
      </c>
    </row>
    <row r="22">
      <c r="A22" s="55" t="n">
        <v>19</v>
      </c>
      <c r="B22" s="55">
        <f>IF('04_DATA'!A19="","",'04_DATA'!A19)</f>
        <v/>
      </c>
      <c r="C22" s="55">
        <f>IF('04_DATA'!A19="","",IF(AND('04_DATA'!G19=1,'04_DATA'!H19=1,'04_DATA'!I19&gt;=3),"eligible","EXCLUDE"))</f>
        <v/>
      </c>
      <c r="D22" s="55">
        <f>IF('04_DATA'!A19="","",37-COUNT('04_DATA'!$K19:$AU19))</f>
        <v/>
      </c>
      <c r="E22" s="63">
        <f>IF('04_DATA'!A19="","",(37-COUNT('04_DATA'!$K19:$AU19))/37)</f>
        <v/>
      </c>
      <c r="F22" s="55">
        <f>IF('04_DATA'!A19="","",IF(AND(COUNT('04_DATA'!$K19:$AU19)=37,COUNTIF('04_DATA'!$K19:$AU19,INDEX('04_DATA'!$K19:$AU19,1))=37),"EXCLUDE","ok"))</f>
        <v/>
      </c>
      <c r="G22" s="55">
        <f>IF('04_DATA'!A19="","",IF('04_DATA'!D19&lt;PERCENTILE('04_DATA'!$D$2:$D$1001,0.05),"FLAG","ok"))</f>
        <v/>
      </c>
      <c r="H22" s="55">
        <f>IF('04_DATA'!A19="","",IF(OR(C22="EXCLUDE",F22="EXCLUDE"),"Exclude under pre-specified rule",IF(E22&gt;0.15,"Exclude: &gt;15% missing",IF(G22="FLAG","Retain; test in robustness battery","Retain"))))</f>
        <v/>
      </c>
    </row>
    <row r="23">
      <c r="A23" s="55" t="n">
        <v>20</v>
      </c>
      <c r="B23" s="55">
        <f>IF('04_DATA'!A20="","",'04_DATA'!A20)</f>
        <v/>
      </c>
      <c r="C23" s="55">
        <f>IF('04_DATA'!A20="","",IF(AND('04_DATA'!G20=1,'04_DATA'!H20=1,'04_DATA'!I20&gt;=3),"eligible","EXCLUDE"))</f>
        <v/>
      </c>
      <c r="D23" s="55">
        <f>IF('04_DATA'!A20="","",37-COUNT('04_DATA'!$K20:$AU20))</f>
        <v/>
      </c>
      <c r="E23" s="63">
        <f>IF('04_DATA'!A20="","",(37-COUNT('04_DATA'!$K20:$AU20))/37)</f>
        <v/>
      </c>
      <c r="F23" s="55">
        <f>IF('04_DATA'!A20="","",IF(AND(COUNT('04_DATA'!$K20:$AU20)=37,COUNTIF('04_DATA'!$K20:$AU20,INDEX('04_DATA'!$K20:$AU20,1))=37),"EXCLUDE","ok"))</f>
        <v/>
      </c>
      <c r="G23" s="55">
        <f>IF('04_DATA'!A20="","",IF('04_DATA'!D20&lt;PERCENTILE('04_DATA'!$D$2:$D$1001,0.05),"FLAG","ok"))</f>
        <v/>
      </c>
      <c r="H23" s="55">
        <f>IF('04_DATA'!A20="","",IF(OR(C23="EXCLUDE",F23="EXCLUDE"),"Exclude under pre-specified rule",IF(E23&gt;0.15,"Exclude: &gt;15% missing",IF(G23="FLAG","Retain; test in robustness battery","Retain"))))</f>
        <v/>
      </c>
    </row>
    <row r="24">
      <c r="A24" s="55" t="n">
        <v>21</v>
      </c>
      <c r="B24" s="55">
        <f>IF('04_DATA'!A21="","",'04_DATA'!A21)</f>
        <v/>
      </c>
      <c r="C24" s="55">
        <f>IF('04_DATA'!A21="","",IF(AND('04_DATA'!G21=1,'04_DATA'!H21=1,'04_DATA'!I21&gt;=3),"eligible","EXCLUDE"))</f>
        <v/>
      </c>
      <c r="D24" s="55">
        <f>IF('04_DATA'!A21="","",37-COUNT('04_DATA'!$K21:$AU21))</f>
        <v/>
      </c>
      <c r="E24" s="63">
        <f>IF('04_DATA'!A21="","",(37-COUNT('04_DATA'!$K21:$AU21))/37)</f>
        <v/>
      </c>
      <c r="F24" s="55">
        <f>IF('04_DATA'!A21="","",IF(AND(COUNT('04_DATA'!$K21:$AU21)=37,COUNTIF('04_DATA'!$K21:$AU21,INDEX('04_DATA'!$K21:$AU21,1))=37),"EXCLUDE","ok"))</f>
        <v/>
      </c>
      <c r="G24" s="55">
        <f>IF('04_DATA'!A21="","",IF('04_DATA'!D21&lt;PERCENTILE('04_DATA'!$D$2:$D$1001,0.05),"FLAG","ok"))</f>
        <v/>
      </c>
      <c r="H24" s="55">
        <f>IF('04_DATA'!A21="","",IF(OR(C24="EXCLUDE",F24="EXCLUDE"),"Exclude under pre-specified rule",IF(E24&gt;0.15,"Exclude: &gt;15% missing",IF(G24="FLAG","Retain; test in robustness battery","Retain"))))</f>
        <v/>
      </c>
    </row>
    <row r="25">
      <c r="A25" s="55" t="n">
        <v>22</v>
      </c>
      <c r="B25" s="55">
        <f>IF('04_DATA'!A22="","",'04_DATA'!A22)</f>
        <v/>
      </c>
      <c r="C25" s="55">
        <f>IF('04_DATA'!A22="","",IF(AND('04_DATA'!G22=1,'04_DATA'!H22=1,'04_DATA'!I22&gt;=3),"eligible","EXCLUDE"))</f>
        <v/>
      </c>
      <c r="D25" s="55">
        <f>IF('04_DATA'!A22="","",37-COUNT('04_DATA'!$K22:$AU22))</f>
        <v/>
      </c>
      <c r="E25" s="63">
        <f>IF('04_DATA'!A22="","",(37-COUNT('04_DATA'!$K22:$AU22))/37)</f>
        <v/>
      </c>
      <c r="F25" s="55">
        <f>IF('04_DATA'!A22="","",IF(AND(COUNT('04_DATA'!$K22:$AU22)=37,COUNTIF('04_DATA'!$K22:$AU22,INDEX('04_DATA'!$K22:$AU22,1))=37),"EXCLUDE","ok"))</f>
        <v/>
      </c>
      <c r="G25" s="55">
        <f>IF('04_DATA'!A22="","",IF('04_DATA'!D22&lt;PERCENTILE('04_DATA'!$D$2:$D$1001,0.05),"FLAG","ok"))</f>
        <v/>
      </c>
      <c r="H25" s="55">
        <f>IF('04_DATA'!A22="","",IF(OR(C25="EXCLUDE",F25="EXCLUDE"),"Exclude under pre-specified rule",IF(E25&gt;0.15,"Exclude: &gt;15% missing",IF(G25="FLAG","Retain; test in robustness battery","Retain"))))</f>
        <v/>
      </c>
    </row>
    <row r="26">
      <c r="A26" s="55" t="n">
        <v>23</v>
      </c>
      <c r="B26" s="55">
        <f>IF('04_DATA'!A23="","",'04_DATA'!A23)</f>
        <v/>
      </c>
      <c r="C26" s="55">
        <f>IF('04_DATA'!A23="","",IF(AND('04_DATA'!G23=1,'04_DATA'!H23=1,'04_DATA'!I23&gt;=3),"eligible","EXCLUDE"))</f>
        <v/>
      </c>
      <c r="D26" s="55">
        <f>IF('04_DATA'!A23="","",37-COUNT('04_DATA'!$K23:$AU23))</f>
        <v/>
      </c>
      <c r="E26" s="63">
        <f>IF('04_DATA'!A23="","",(37-COUNT('04_DATA'!$K23:$AU23))/37)</f>
        <v/>
      </c>
      <c r="F26" s="55">
        <f>IF('04_DATA'!A23="","",IF(AND(COUNT('04_DATA'!$K23:$AU23)=37,COUNTIF('04_DATA'!$K23:$AU23,INDEX('04_DATA'!$K23:$AU23,1))=37),"EXCLUDE","ok"))</f>
        <v/>
      </c>
      <c r="G26" s="55">
        <f>IF('04_DATA'!A23="","",IF('04_DATA'!D23&lt;PERCENTILE('04_DATA'!$D$2:$D$1001,0.05),"FLAG","ok"))</f>
        <v/>
      </c>
      <c r="H26" s="55">
        <f>IF('04_DATA'!A23="","",IF(OR(C26="EXCLUDE",F26="EXCLUDE"),"Exclude under pre-specified rule",IF(E26&gt;0.15,"Exclude: &gt;15% missing",IF(G26="FLAG","Retain; test in robustness battery","Retain"))))</f>
        <v/>
      </c>
    </row>
    <row r="27">
      <c r="A27" s="55" t="n">
        <v>24</v>
      </c>
      <c r="B27" s="55">
        <f>IF('04_DATA'!A24="","",'04_DATA'!A24)</f>
        <v/>
      </c>
      <c r="C27" s="55">
        <f>IF('04_DATA'!A24="","",IF(AND('04_DATA'!G24=1,'04_DATA'!H24=1,'04_DATA'!I24&gt;=3),"eligible","EXCLUDE"))</f>
        <v/>
      </c>
      <c r="D27" s="55">
        <f>IF('04_DATA'!A24="","",37-COUNT('04_DATA'!$K24:$AU24))</f>
        <v/>
      </c>
      <c r="E27" s="63">
        <f>IF('04_DATA'!A24="","",(37-COUNT('04_DATA'!$K24:$AU24))/37)</f>
        <v/>
      </c>
      <c r="F27" s="55">
        <f>IF('04_DATA'!A24="","",IF(AND(COUNT('04_DATA'!$K24:$AU24)=37,COUNTIF('04_DATA'!$K24:$AU24,INDEX('04_DATA'!$K24:$AU24,1))=37),"EXCLUDE","ok"))</f>
        <v/>
      </c>
      <c r="G27" s="55">
        <f>IF('04_DATA'!A24="","",IF('04_DATA'!D24&lt;PERCENTILE('04_DATA'!$D$2:$D$1001,0.05),"FLAG","ok"))</f>
        <v/>
      </c>
      <c r="H27" s="55">
        <f>IF('04_DATA'!A24="","",IF(OR(C27="EXCLUDE",F27="EXCLUDE"),"Exclude under pre-specified rule",IF(E27&gt;0.15,"Exclude: &gt;15% missing",IF(G27="FLAG","Retain; test in robustness battery","Retain"))))</f>
        <v/>
      </c>
    </row>
    <row r="28">
      <c r="A28" s="55" t="n">
        <v>25</v>
      </c>
      <c r="B28" s="55">
        <f>IF('04_DATA'!A25="","",'04_DATA'!A25)</f>
        <v/>
      </c>
      <c r="C28" s="55">
        <f>IF('04_DATA'!A25="","",IF(AND('04_DATA'!G25=1,'04_DATA'!H25=1,'04_DATA'!I25&gt;=3),"eligible","EXCLUDE"))</f>
        <v/>
      </c>
      <c r="D28" s="55">
        <f>IF('04_DATA'!A25="","",37-COUNT('04_DATA'!$K25:$AU25))</f>
        <v/>
      </c>
      <c r="E28" s="63">
        <f>IF('04_DATA'!A25="","",(37-COUNT('04_DATA'!$K25:$AU25))/37)</f>
        <v/>
      </c>
      <c r="F28" s="55">
        <f>IF('04_DATA'!A25="","",IF(AND(COUNT('04_DATA'!$K25:$AU25)=37,COUNTIF('04_DATA'!$K25:$AU25,INDEX('04_DATA'!$K25:$AU25,1))=37),"EXCLUDE","ok"))</f>
        <v/>
      </c>
      <c r="G28" s="55">
        <f>IF('04_DATA'!A25="","",IF('04_DATA'!D25&lt;PERCENTILE('04_DATA'!$D$2:$D$1001,0.05),"FLAG","ok"))</f>
        <v/>
      </c>
      <c r="H28" s="55">
        <f>IF('04_DATA'!A25="","",IF(OR(C28="EXCLUDE",F28="EXCLUDE"),"Exclude under pre-specified rule",IF(E28&gt;0.15,"Exclude: &gt;15% missing",IF(G28="FLAG","Retain; test in robustness battery","Retain"))))</f>
        <v/>
      </c>
    </row>
    <row r="29">
      <c r="A29" s="55" t="n">
        <v>26</v>
      </c>
      <c r="B29" s="55">
        <f>IF('04_DATA'!A26="","",'04_DATA'!A26)</f>
        <v/>
      </c>
      <c r="C29" s="55">
        <f>IF('04_DATA'!A26="","",IF(AND('04_DATA'!G26=1,'04_DATA'!H26=1,'04_DATA'!I26&gt;=3),"eligible","EXCLUDE"))</f>
        <v/>
      </c>
      <c r="D29" s="55">
        <f>IF('04_DATA'!A26="","",37-COUNT('04_DATA'!$K26:$AU26))</f>
        <v/>
      </c>
      <c r="E29" s="63">
        <f>IF('04_DATA'!A26="","",(37-COUNT('04_DATA'!$K26:$AU26))/37)</f>
        <v/>
      </c>
      <c r="F29" s="55">
        <f>IF('04_DATA'!A26="","",IF(AND(COUNT('04_DATA'!$K26:$AU26)=37,COUNTIF('04_DATA'!$K26:$AU26,INDEX('04_DATA'!$K26:$AU26,1))=37),"EXCLUDE","ok"))</f>
        <v/>
      </c>
      <c r="G29" s="55">
        <f>IF('04_DATA'!A26="","",IF('04_DATA'!D26&lt;PERCENTILE('04_DATA'!$D$2:$D$1001,0.05),"FLAG","ok"))</f>
        <v/>
      </c>
      <c r="H29" s="55">
        <f>IF('04_DATA'!A26="","",IF(OR(C29="EXCLUDE",F29="EXCLUDE"),"Exclude under pre-specified rule",IF(E29&gt;0.15,"Exclude: &gt;15% missing",IF(G29="FLAG","Retain; test in robustness battery","Retain"))))</f>
        <v/>
      </c>
    </row>
    <row r="30">
      <c r="A30" s="55" t="n">
        <v>27</v>
      </c>
      <c r="B30" s="55">
        <f>IF('04_DATA'!A27="","",'04_DATA'!A27)</f>
        <v/>
      </c>
      <c r="C30" s="55">
        <f>IF('04_DATA'!A27="","",IF(AND('04_DATA'!G27=1,'04_DATA'!H27=1,'04_DATA'!I27&gt;=3),"eligible","EXCLUDE"))</f>
        <v/>
      </c>
      <c r="D30" s="55">
        <f>IF('04_DATA'!A27="","",37-COUNT('04_DATA'!$K27:$AU27))</f>
        <v/>
      </c>
      <c r="E30" s="63">
        <f>IF('04_DATA'!A27="","",(37-COUNT('04_DATA'!$K27:$AU27))/37)</f>
        <v/>
      </c>
      <c r="F30" s="55">
        <f>IF('04_DATA'!A27="","",IF(AND(COUNT('04_DATA'!$K27:$AU27)=37,COUNTIF('04_DATA'!$K27:$AU27,INDEX('04_DATA'!$K27:$AU27,1))=37),"EXCLUDE","ok"))</f>
        <v/>
      </c>
      <c r="G30" s="55">
        <f>IF('04_DATA'!A27="","",IF('04_DATA'!D27&lt;PERCENTILE('04_DATA'!$D$2:$D$1001,0.05),"FLAG","ok"))</f>
        <v/>
      </c>
      <c r="H30" s="55">
        <f>IF('04_DATA'!A27="","",IF(OR(C30="EXCLUDE",F30="EXCLUDE"),"Exclude under pre-specified rule",IF(E30&gt;0.15,"Exclude: &gt;15% missing",IF(G30="FLAG","Retain; test in robustness battery","Retain"))))</f>
        <v/>
      </c>
    </row>
    <row r="31">
      <c r="A31" s="55" t="n">
        <v>28</v>
      </c>
      <c r="B31" s="55">
        <f>IF('04_DATA'!A28="","",'04_DATA'!A28)</f>
        <v/>
      </c>
      <c r="C31" s="55">
        <f>IF('04_DATA'!A28="","",IF(AND('04_DATA'!G28=1,'04_DATA'!H28=1,'04_DATA'!I28&gt;=3),"eligible","EXCLUDE"))</f>
        <v/>
      </c>
      <c r="D31" s="55">
        <f>IF('04_DATA'!A28="","",37-COUNT('04_DATA'!$K28:$AU28))</f>
        <v/>
      </c>
      <c r="E31" s="63">
        <f>IF('04_DATA'!A28="","",(37-COUNT('04_DATA'!$K28:$AU28))/37)</f>
        <v/>
      </c>
      <c r="F31" s="55">
        <f>IF('04_DATA'!A28="","",IF(AND(COUNT('04_DATA'!$K28:$AU28)=37,COUNTIF('04_DATA'!$K28:$AU28,INDEX('04_DATA'!$K28:$AU28,1))=37),"EXCLUDE","ok"))</f>
        <v/>
      </c>
      <c r="G31" s="55">
        <f>IF('04_DATA'!A28="","",IF('04_DATA'!D28&lt;PERCENTILE('04_DATA'!$D$2:$D$1001,0.05),"FLAG","ok"))</f>
        <v/>
      </c>
      <c r="H31" s="55">
        <f>IF('04_DATA'!A28="","",IF(OR(C31="EXCLUDE",F31="EXCLUDE"),"Exclude under pre-specified rule",IF(E31&gt;0.15,"Exclude: &gt;15% missing",IF(G31="FLAG","Retain; test in robustness battery","Retain"))))</f>
        <v/>
      </c>
    </row>
    <row r="32">
      <c r="A32" s="55" t="n">
        <v>29</v>
      </c>
      <c r="B32" s="55">
        <f>IF('04_DATA'!A29="","",'04_DATA'!A29)</f>
        <v/>
      </c>
      <c r="C32" s="55">
        <f>IF('04_DATA'!A29="","",IF(AND('04_DATA'!G29=1,'04_DATA'!H29=1,'04_DATA'!I29&gt;=3),"eligible","EXCLUDE"))</f>
        <v/>
      </c>
      <c r="D32" s="55">
        <f>IF('04_DATA'!A29="","",37-COUNT('04_DATA'!$K29:$AU29))</f>
        <v/>
      </c>
      <c r="E32" s="63">
        <f>IF('04_DATA'!A29="","",(37-COUNT('04_DATA'!$K29:$AU29))/37)</f>
        <v/>
      </c>
      <c r="F32" s="55">
        <f>IF('04_DATA'!A29="","",IF(AND(COUNT('04_DATA'!$K29:$AU29)=37,COUNTIF('04_DATA'!$K29:$AU29,INDEX('04_DATA'!$K29:$AU29,1))=37),"EXCLUDE","ok"))</f>
        <v/>
      </c>
      <c r="G32" s="55">
        <f>IF('04_DATA'!A29="","",IF('04_DATA'!D29&lt;PERCENTILE('04_DATA'!$D$2:$D$1001,0.05),"FLAG","ok"))</f>
        <v/>
      </c>
      <c r="H32" s="55">
        <f>IF('04_DATA'!A29="","",IF(OR(C32="EXCLUDE",F32="EXCLUDE"),"Exclude under pre-specified rule",IF(E32&gt;0.15,"Exclude: &gt;15% missing",IF(G32="FLAG","Retain; test in robustness battery","Retain"))))</f>
        <v/>
      </c>
    </row>
    <row r="33">
      <c r="A33" s="55" t="n">
        <v>30</v>
      </c>
      <c r="B33" s="55">
        <f>IF('04_DATA'!A30="","",'04_DATA'!A30)</f>
        <v/>
      </c>
      <c r="C33" s="55">
        <f>IF('04_DATA'!A30="","",IF(AND('04_DATA'!G30=1,'04_DATA'!H30=1,'04_DATA'!I30&gt;=3),"eligible","EXCLUDE"))</f>
        <v/>
      </c>
      <c r="D33" s="55">
        <f>IF('04_DATA'!A30="","",37-COUNT('04_DATA'!$K30:$AU30))</f>
        <v/>
      </c>
      <c r="E33" s="63">
        <f>IF('04_DATA'!A30="","",(37-COUNT('04_DATA'!$K30:$AU30))/37)</f>
        <v/>
      </c>
      <c r="F33" s="55">
        <f>IF('04_DATA'!A30="","",IF(AND(COUNT('04_DATA'!$K30:$AU30)=37,COUNTIF('04_DATA'!$K30:$AU30,INDEX('04_DATA'!$K30:$AU30,1))=37),"EXCLUDE","ok"))</f>
        <v/>
      </c>
      <c r="G33" s="55">
        <f>IF('04_DATA'!A30="","",IF('04_DATA'!D30&lt;PERCENTILE('04_DATA'!$D$2:$D$1001,0.05),"FLAG","ok"))</f>
        <v/>
      </c>
      <c r="H33" s="55">
        <f>IF('04_DATA'!A30="","",IF(OR(C33="EXCLUDE",F33="EXCLUDE"),"Exclude under pre-specified rule",IF(E33&gt;0.15,"Exclude: &gt;15% missing",IF(G33="FLAG","Retain; test in robustness battery","Retain"))))</f>
        <v/>
      </c>
    </row>
    <row r="34">
      <c r="A34" s="55" t="n">
        <v>31</v>
      </c>
      <c r="B34" s="55">
        <f>IF('04_DATA'!A31="","",'04_DATA'!A31)</f>
        <v/>
      </c>
      <c r="C34" s="55">
        <f>IF('04_DATA'!A31="","",IF(AND('04_DATA'!G31=1,'04_DATA'!H31=1,'04_DATA'!I31&gt;=3),"eligible","EXCLUDE"))</f>
        <v/>
      </c>
      <c r="D34" s="55">
        <f>IF('04_DATA'!A31="","",37-COUNT('04_DATA'!$K31:$AU31))</f>
        <v/>
      </c>
      <c r="E34" s="63">
        <f>IF('04_DATA'!A31="","",(37-COUNT('04_DATA'!$K31:$AU31))/37)</f>
        <v/>
      </c>
      <c r="F34" s="55">
        <f>IF('04_DATA'!A31="","",IF(AND(COUNT('04_DATA'!$K31:$AU31)=37,COUNTIF('04_DATA'!$K31:$AU31,INDEX('04_DATA'!$K31:$AU31,1))=37),"EXCLUDE","ok"))</f>
        <v/>
      </c>
      <c r="G34" s="55">
        <f>IF('04_DATA'!A31="","",IF('04_DATA'!D31&lt;PERCENTILE('04_DATA'!$D$2:$D$1001,0.05),"FLAG","ok"))</f>
        <v/>
      </c>
      <c r="H34" s="55">
        <f>IF('04_DATA'!A31="","",IF(OR(C34="EXCLUDE",F34="EXCLUDE"),"Exclude under pre-specified rule",IF(E34&gt;0.15,"Exclude: &gt;15% missing",IF(G34="FLAG","Retain; test in robustness battery","Retain"))))</f>
        <v/>
      </c>
    </row>
    <row r="35">
      <c r="A35" s="55" t="n">
        <v>32</v>
      </c>
      <c r="B35" s="55">
        <f>IF('04_DATA'!A32="","",'04_DATA'!A32)</f>
        <v/>
      </c>
      <c r="C35" s="55">
        <f>IF('04_DATA'!A32="","",IF(AND('04_DATA'!G32=1,'04_DATA'!H32=1,'04_DATA'!I32&gt;=3),"eligible","EXCLUDE"))</f>
        <v/>
      </c>
      <c r="D35" s="55">
        <f>IF('04_DATA'!A32="","",37-COUNT('04_DATA'!$K32:$AU32))</f>
        <v/>
      </c>
      <c r="E35" s="63">
        <f>IF('04_DATA'!A32="","",(37-COUNT('04_DATA'!$K32:$AU32))/37)</f>
        <v/>
      </c>
      <c r="F35" s="55">
        <f>IF('04_DATA'!A32="","",IF(AND(COUNT('04_DATA'!$K32:$AU32)=37,COUNTIF('04_DATA'!$K32:$AU32,INDEX('04_DATA'!$K32:$AU32,1))=37),"EXCLUDE","ok"))</f>
        <v/>
      </c>
      <c r="G35" s="55">
        <f>IF('04_DATA'!A32="","",IF('04_DATA'!D32&lt;PERCENTILE('04_DATA'!$D$2:$D$1001,0.05),"FLAG","ok"))</f>
        <v/>
      </c>
      <c r="H35" s="55">
        <f>IF('04_DATA'!A32="","",IF(OR(C35="EXCLUDE",F35="EXCLUDE"),"Exclude under pre-specified rule",IF(E35&gt;0.15,"Exclude: &gt;15% missing",IF(G35="FLAG","Retain; test in robustness battery","Retain"))))</f>
        <v/>
      </c>
    </row>
    <row r="36">
      <c r="A36" s="55" t="n">
        <v>33</v>
      </c>
      <c r="B36" s="55">
        <f>IF('04_DATA'!A33="","",'04_DATA'!A33)</f>
        <v/>
      </c>
      <c r="C36" s="55">
        <f>IF('04_DATA'!A33="","",IF(AND('04_DATA'!G33=1,'04_DATA'!H33=1,'04_DATA'!I33&gt;=3),"eligible","EXCLUDE"))</f>
        <v/>
      </c>
      <c r="D36" s="55">
        <f>IF('04_DATA'!A33="","",37-COUNT('04_DATA'!$K33:$AU33))</f>
        <v/>
      </c>
      <c r="E36" s="63">
        <f>IF('04_DATA'!A33="","",(37-COUNT('04_DATA'!$K33:$AU33))/37)</f>
        <v/>
      </c>
      <c r="F36" s="55">
        <f>IF('04_DATA'!A33="","",IF(AND(COUNT('04_DATA'!$K33:$AU33)=37,COUNTIF('04_DATA'!$K33:$AU33,INDEX('04_DATA'!$K33:$AU33,1))=37),"EXCLUDE","ok"))</f>
        <v/>
      </c>
      <c r="G36" s="55">
        <f>IF('04_DATA'!A33="","",IF('04_DATA'!D33&lt;PERCENTILE('04_DATA'!$D$2:$D$1001,0.05),"FLAG","ok"))</f>
        <v/>
      </c>
      <c r="H36" s="55">
        <f>IF('04_DATA'!A33="","",IF(OR(C36="EXCLUDE",F36="EXCLUDE"),"Exclude under pre-specified rule",IF(E36&gt;0.15,"Exclude: &gt;15% missing",IF(G36="FLAG","Retain; test in robustness battery","Retain"))))</f>
        <v/>
      </c>
    </row>
    <row r="37">
      <c r="A37" s="55" t="n">
        <v>34</v>
      </c>
      <c r="B37" s="55">
        <f>IF('04_DATA'!A34="","",'04_DATA'!A34)</f>
        <v/>
      </c>
      <c r="C37" s="55">
        <f>IF('04_DATA'!A34="","",IF(AND('04_DATA'!G34=1,'04_DATA'!H34=1,'04_DATA'!I34&gt;=3),"eligible","EXCLUDE"))</f>
        <v/>
      </c>
      <c r="D37" s="55">
        <f>IF('04_DATA'!A34="","",37-COUNT('04_DATA'!$K34:$AU34))</f>
        <v/>
      </c>
      <c r="E37" s="63">
        <f>IF('04_DATA'!A34="","",(37-COUNT('04_DATA'!$K34:$AU34))/37)</f>
        <v/>
      </c>
      <c r="F37" s="55">
        <f>IF('04_DATA'!A34="","",IF(AND(COUNT('04_DATA'!$K34:$AU34)=37,COUNTIF('04_DATA'!$K34:$AU34,INDEX('04_DATA'!$K34:$AU34,1))=37),"EXCLUDE","ok"))</f>
        <v/>
      </c>
      <c r="G37" s="55">
        <f>IF('04_DATA'!A34="","",IF('04_DATA'!D34&lt;PERCENTILE('04_DATA'!$D$2:$D$1001,0.05),"FLAG","ok"))</f>
        <v/>
      </c>
      <c r="H37" s="55">
        <f>IF('04_DATA'!A34="","",IF(OR(C37="EXCLUDE",F37="EXCLUDE"),"Exclude under pre-specified rule",IF(E37&gt;0.15,"Exclude: &gt;15% missing",IF(G37="FLAG","Retain; test in robustness battery","Retain"))))</f>
        <v/>
      </c>
    </row>
    <row r="38">
      <c r="A38" s="55" t="n">
        <v>35</v>
      </c>
      <c r="B38" s="55">
        <f>IF('04_DATA'!A35="","",'04_DATA'!A35)</f>
        <v/>
      </c>
      <c r="C38" s="55">
        <f>IF('04_DATA'!A35="","",IF(AND('04_DATA'!G35=1,'04_DATA'!H35=1,'04_DATA'!I35&gt;=3),"eligible","EXCLUDE"))</f>
        <v/>
      </c>
      <c r="D38" s="55">
        <f>IF('04_DATA'!A35="","",37-COUNT('04_DATA'!$K35:$AU35))</f>
        <v/>
      </c>
      <c r="E38" s="63">
        <f>IF('04_DATA'!A35="","",(37-COUNT('04_DATA'!$K35:$AU35))/37)</f>
        <v/>
      </c>
      <c r="F38" s="55">
        <f>IF('04_DATA'!A35="","",IF(AND(COUNT('04_DATA'!$K35:$AU35)=37,COUNTIF('04_DATA'!$K35:$AU35,INDEX('04_DATA'!$K35:$AU35,1))=37),"EXCLUDE","ok"))</f>
        <v/>
      </c>
      <c r="G38" s="55">
        <f>IF('04_DATA'!A35="","",IF('04_DATA'!D35&lt;PERCENTILE('04_DATA'!$D$2:$D$1001,0.05),"FLAG","ok"))</f>
        <v/>
      </c>
      <c r="H38" s="55">
        <f>IF('04_DATA'!A35="","",IF(OR(C38="EXCLUDE",F38="EXCLUDE"),"Exclude under pre-specified rule",IF(E38&gt;0.15,"Exclude: &gt;15% missing",IF(G38="FLAG","Retain; test in robustness battery","Retain"))))</f>
        <v/>
      </c>
    </row>
    <row r="39">
      <c r="A39" s="55" t="n">
        <v>36</v>
      </c>
      <c r="B39" s="55">
        <f>IF('04_DATA'!A36="","",'04_DATA'!A36)</f>
        <v/>
      </c>
      <c r="C39" s="55">
        <f>IF('04_DATA'!A36="","",IF(AND('04_DATA'!G36=1,'04_DATA'!H36=1,'04_DATA'!I36&gt;=3),"eligible","EXCLUDE"))</f>
        <v/>
      </c>
      <c r="D39" s="55">
        <f>IF('04_DATA'!A36="","",37-COUNT('04_DATA'!$K36:$AU36))</f>
        <v/>
      </c>
      <c r="E39" s="63">
        <f>IF('04_DATA'!A36="","",(37-COUNT('04_DATA'!$K36:$AU36))/37)</f>
        <v/>
      </c>
      <c r="F39" s="55">
        <f>IF('04_DATA'!A36="","",IF(AND(COUNT('04_DATA'!$K36:$AU36)=37,COUNTIF('04_DATA'!$K36:$AU36,INDEX('04_DATA'!$K36:$AU36,1))=37),"EXCLUDE","ok"))</f>
        <v/>
      </c>
      <c r="G39" s="55">
        <f>IF('04_DATA'!A36="","",IF('04_DATA'!D36&lt;PERCENTILE('04_DATA'!$D$2:$D$1001,0.05),"FLAG","ok"))</f>
        <v/>
      </c>
      <c r="H39" s="55">
        <f>IF('04_DATA'!A36="","",IF(OR(C39="EXCLUDE",F39="EXCLUDE"),"Exclude under pre-specified rule",IF(E39&gt;0.15,"Exclude: &gt;15% missing",IF(G39="FLAG","Retain; test in robustness battery","Retain"))))</f>
        <v/>
      </c>
    </row>
    <row r="40">
      <c r="A40" s="55" t="n">
        <v>37</v>
      </c>
      <c r="B40" s="55">
        <f>IF('04_DATA'!A37="","",'04_DATA'!A37)</f>
        <v/>
      </c>
      <c r="C40" s="55">
        <f>IF('04_DATA'!A37="","",IF(AND('04_DATA'!G37=1,'04_DATA'!H37=1,'04_DATA'!I37&gt;=3),"eligible","EXCLUDE"))</f>
        <v/>
      </c>
      <c r="D40" s="55">
        <f>IF('04_DATA'!A37="","",37-COUNT('04_DATA'!$K37:$AU37))</f>
        <v/>
      </c>
      <c r="E40" s="63">
        <f>IF('04_DATA'!A37="","",(37-COUNT('04_DATA'!$K37:$AU37))/37)</f>
        <v/>
      </c>
      <c r="F40" s="55">
        <f>IF('04_DATA'!A37="","",IF(AND(COUNT('04_DATA'!$K37:$AU37)=37,COUNTIF('04_DATA'!$K37:$AU37,INDEX('04_DATA'!$K37:$AU37,1))=37),"EXCLUDE","ok"))</f>
        <v/>
      </c>
      <c r="G40" s="55">
        <f>IF('04_DATA'!A37="","",IF('04_DATA'!D37&lt;PERCENTILE('04_DATA'!$D$2:$D$1001,0.05),"FLAG","ok"))</f>
        <v/>
      </c>
      <c r="H40" s="55">
        <f>IF('04_DATA'!A37="","",IF(OR(C40="EXCLUDE",F40="EXCLUDE"),"Exclude under pre-specified rule",IF(E40&gt;0.15,"Exclude: &gt;15% missing",IF(G40="FLAG","Retain; test in robustness battery","Retain"))))</f>
        <v/>
      </c>
    </row>
    <row r="41">
      <c r="A41" s="55" t="n">
        <v>38</v>
      </c>
      <c r="B41" s="55">
        <f>IF('04_DATA'!A38="","",'04_DATA'!A38)</f>
        <v/>
      </c>
      <c r="C41" s="55">
        <f>IF('04_DATA'!A38="","",IF(AND('04_DATA'!G38=1,'04_DATA'!H38=1,'04_DATA'!I38&gt;=3),"eligible","EXCLUDE"))</f>
        <v/>
      </c>
      <c r="D41" s="55">
        <f>IF('04_DATA'!A38="","",37-COUNT('04_DATA'!$K38:$AU38))</f>
        <v/>
      </c>
      <c r="E41" s="63">
        <f>IF('04_DATA'!A38="","",(37-COUNT('04_DATA'!$K38:$AU38))/37)</f>
        <v/>
      </c>
      <c r="F41" s="55">
        <f>IF('04_DATA'!A38="","",IF(AND(COUNT('04_DATA'!$K38:$AU38)=37,COUNTIF('04_DATA'!$K38:$AU38,INDEX('04_DATA'!$K38:$AU38,1))=37),"EXCLUDE","ok"))</f>
        <v/>
      </c>
      <c r="G41" s="55">
        <f>IF('04_DATA'!A38="","",IF('04_DATA'!D38&lt;PERCENTILE('04_DATA'!$D$2:$D$1001,0.05),"FLAG","ok"))</f>
        <v/>
      </c>
      <c r="H41" s="55">
        <f>IF('04_DATA'!A38="","",IF(OR(C41="EXCLUDE",F41="EXCLUDE"),"Exclude under pre-specified rule",IF(E41&gt;0.15,"Exclude: &gt;15% missing",IF(G41="FLAG","Retain; test in robustness battery","Retain"))))</f>
        <v/>
      </c>
    </row>
    <row r="42">
      <c r="A42" s="55" t="n">
        <v>39</v>
      </c>
      <c r="B42" s="55">
        <f>IF('04_DATA'!A39="","",'04_DATA'!A39)</f>
        <v/>
      </c>
      <c r="C42" s="55">
        <f>IF('04_DATA'!A39="","",IF(AND('04_DATA'!G39=1,'04_DATA'!H39=1,'04_DATA'!I39&gt;=3),"eligible","EXCLUDE"))</f>
        <v/>
      </c>
      <c r="D42" s="55">
        <f>IF('04_DATA'!A39="","",37-COUNT('04_DATA'!$K39:$AU39))</f>
        <v/>
      </c>
      <c r="E42" s="63">
        <f>IF('04_DATA'!A39="","",(37-COUNT('04_DATA'!$K39:$AU39))/37)</f>
        <v/>
      </c>
      <c r="F42" s="55">
        <f>IF('04_DATA'!A39="","",IF(AND(COUNT('04_DATA'!$K39:$AU39)=37,COUNTIF('04_DATA'!$K39:$AU39,INDEX('04_DATA'!$K39:$AU39,1))=37),"EXCLUDE","ok"))</f>
        <v/>
      </c>
      <c r="G42" s="55">
        <f>IF('04_DATA'!A39="","",IF('04_DATA'!D39&lt;PERCENTILE('04_DATA'!$D$2:$D$1001,0.05),"FLAG","ok"))</f>
        <v/>
      </c>
      <c r="H42" s="55">
        <f>IF('04_DATA'!A39="","",IF(OR(C42="EXCLUDE",F42="EXCLUDE"),"Exclude under pre-specified rule",IF(E42&gt;0.15,"Exclude: &gt;15% missing",IF(G42="FLAG","Retain; test in robustness battery","Retain"))))</f>
        <v/>
      </c>
    </row>
    <row r="43">
      <c r="A43" s="55" t="n">
        <v>40</v>
      </c>
      <c r="B43" s="55">
        <f>IF('04_DATA'!A40="","",'04_DATA'!A40)</f>
        <v/>
      </c>
      <c r="C43" s="55">
        <f>IF('04_DATA'!A40="","",IF(AND('04_DATA'!G40=1,'04_DATA'!H40=1,'04_DATA'!I40&gt;=3),"eligible","EXCLUDE"))</f>
        <v/>
      </c>
      <c r="D43" s="55">
        <f>IF('04_DATA'!A40="","",37-COUNT('04_DATA'!$K40:$AU40))</f>
        <v/>
      </c>
      <c r="E43" s="63">
        <f>IF('04_DATA'!A40="","",(37-COUNT('04_DATA'!$K40:$AU40))/37)</f>
        <v/>
      </c>
      <c r="F43" s="55">
        <f>IF('04_DATA'!A40="","",IF(AND(COUNT('04_DATA'!$K40:$AU40)=37,COUNTIF('04_DATA'!$K40:$AU40,INDEX('04_DATA'!$K40:$AU40,1))=37),"EXCLUDE","ok"))</f>
        <v/>
      </c>
      <c r="G43" s="55">
        <f>IF('04_DATA'!A40="","",IF('04_DATA'!D40&lt;PERCENTILE('04_DATA'!$D$2:$D$1001,0.05),"FLAG","ok"))</f>
        <v/>
      </c>
      <c r="H43" s="55">
        <f>IF('04_DATA'!A40="","",IF(OR(C43="EXCLUDE",F43="EXCLUDE"),"Exclude under pre-specified rule",IF(E43&gt;0.15,"Exclude: &gt;15% missing",IF(G43="FLAG","Retain; test in robustness battery","Retain"))))</f>
        <v/>
      </c>
    </row>
    <row r="44">
      <c r="A44" s="55" t="n">
        <v>41</v>
      </c>
      <c r="B44" s="55">
        <f>IF('04_DATA'!A41="","",'04_DATA'!A41)</f>
        <v/>
      </c>
      <c r="C44" s="55">
        <f>IF('04_DATA'!A41="","",IF(AND('04_DATA'!G41=1,'04_DATA'!H41=1,'04_DATA'!I41&gt;=3),"eligible","EXCLUDE"))</f>
        <v/>
      </c>
      <c r="D44" s="55">
        <f>IF('04_DATA'!A41="","",37-COUNT('04_DATA'!$K41:$AU41))</f>
        <v/>
      </c>
      <c r="E44" s="63">
        <f>IF('04_DATA'!A41="","",(37-COUNT('04_DATA'!$K41:$AU41))/37)</f>
        <v/>
      </c>
      <c r="F44" s="55">
        <f>IF('04_DATA'!A41="","",IF(AND(COUNT('04_DATA'!$K41:$AU41)=37,COUNTIF('04_DATA'!$K41:$AU41,INDEX('04_DATA'!$K41:$AU41,1))=37),"EXCLUDE","ok"))</f>
        <v/>
      </c>
      <c r="G44" s="55">
        <f>IF('04_DATA'!A41="","",IF('04_DATA'!D41&lt;PERCENTILE('04_DATA'!$D$2:$D$1001,0.05),"FLAG","ok"))</f>
        <v/>
      </c>
      <c r="H44" s="55">
        <f>IF('04_DATA'!A41="","",IF(OR(C44="EXCLUDE",F44="EXCLUDE"),"Exclude under pre-specified rule",IF(E44&gt;0.15,"Exclude: &gt;15% missing",IF(G44="FLAG","Retain; test in robustness battery","Retain"))))</f>
        <v/>
      </c>
    </row>
    <row r="45">
      <c r="A45" s="55" t="n">
        <v>42</v>
      </c>
      <c r="B45" s="55">
        <f>IF('04_DATA'!A42="","",'04_DATA'!A42)</f>
        <v/>
      </c>
      <c r="C45" s="55">
        <f>IF('04_DATA'!A42="","",IF(AND('04_DATA'!G42=1,'04_DATA'!H42=1,'04_DATA'!I42&gt;=3),"eligible","EXCLUDE"))</f>
        <v/>
      </c>
      <c r="D45" s="55">
        <f>IF('04_DATA'!A42="","",37-COUNT('04_DATA'!$K42:$AU42))</f>
        <v/>
      </c>
      <c r="E45" s="63">
        <f>IF('04_DATA'!A42="","",(37-COUNT('04_DATA'!$K42:$AU42))/37)</f>
        <v/>
      </c>
      <c r="F45" s="55">
        <f>IF('04_DATA'!A42="","",IF(AND(COUNT('04_DATA'!$K42:$AU42)=37,COUNTIF('04_DATA'!$K42:$AU42,INDEX('04_DATA'!$K42:$AU42,1))=37),"EXCLUDE","ok"))</f>
        <v/>
      </c>
      <c r="G45" s="55">
        <f>IF('04_DATA'!A42="","",IF('04_DATA'!D42&lt;PERCENTILE('04_DATA'!$D$2:$D$1001,0.05),"FLAG","ok"))</f>
        <v/>
      </c>
      <c r="H45" s="55">
        <f>IF('04_DATA'!A42="","",IF(OR(C45="EXCLUDE",F45="EXCLUDE"),"Exclude under pre-specified rule",IF(E45&gt;0.15,"Exclude: &gt;15% missing",IF(G45="FLAG","Retain; test in robustness battery","Retain"))))</f>
        <v/>
      </c>
    </row>
    <row r="46">
      <c r="A46" s="55" t="n">
        <v>43</v>
      </c>
      <c r="B46" s="55">
        <f>IF('04_DATA'!A43="","",'04_DATA'!A43)</f>
        <v/>
      </c>
      <c r="C46" s="55">
        <f>IF('04_DATA'!A43="","",IF(AND('04_DATA'!G43=1,'04_DATA'!H43=1,'04_DATA'!I43&gt;=3),"eligible","EXCLUDE"))</f>
        <v/>
      </c>
      <c r="D46" s="55">
        <f>IF('04_DATA'!A43="","",37-COUNT('04_DATA'!$K43:$AU43))</f>
        <v/>
      </c>
      <c r="E46" s="63">
        <f>IF('04_DATA'!A43="","",(37-COUNT('04_DATA'!$K43:$AU43))/37)</f>
        <v/>
      </c>
      <c r="F46" s="55">
        <f>IF('04_DATA'!A43="","",IF(AND(COUNT('04_DATA'!$K43:$AU43)=37,COUNTIF('04_DATA'!$K43:$AU43,INDEX('04_DATA'!$K43:$AU43,1))=37),"EXCLUDE","ok"))</f>
        <v/>
      </c>
      <c r="G46" s="55">
        <f>IF('04_DATA'!A43="","",IF('04_DATA'!D43&lt;PERCENTILE('04_DATA'!$D$2:$D$1001,0.05),"FLAG","ok"))</f>
        <v/>
      </c>
      <c r="H46" s="55">
        <f>IF('04_DATA'!A43="","",IF(OR(C46="EXCLUDE",F46="EXCLUDE"),"Exclude under pre-specified rule",IF(E46&gt;0.15,"Exclude: &gt;15% missing",IF(G46="FLAG","Retain; test in robustness battery","Retain"))))</f>
        <v/>
      </c>
    </row>
    <row r="47">
      <c r="A47" s="55" t="n">
        <v>44</v>
      </c>
      <c r="B47" s="55">
        <f>IF('04_DATA'!A44="","",'04_DATA'!A44)</f>
        <v/>
      </c>
      <c r="C47" s="55">
        <f>IF('04_DATA'!A44="","",IF(AND('04_DATA'!G44=1,'04_DATA'!H44=1,'04_DATA'!I44&gt;=3),"eligible","EXCLUDE"))</f>
        <v/>
      </c>
      <c r="D47" s="55">
        <f>IF('04_DATA'!A44="","",37-COUNT('04_DATA'!$K44:$AU44))</f>
        <v/>
      </c>
      <c r="E47" s="63">
        <f>IF('04_DATA'!A44="","",(37-COUNT('04_DATA'!$K44:$AU44))/37)</f>
        <v/>
      </c>
      <c r="F47" s="55">
        <f>IF('04_DATA'!A44="","",IF(AND(COUNT('04_DATA'!$K44:$AU44)=37,COUNTIF('04_DATA'!$K44:$AU44,INDEX('04_DATA'!$K44:$AU44,1))=37),"EXCLUDE","ok"))</f>
        <v/>
      </c>
      <c r="G47" s="55">
        <f>IF('04_DATA'!A44="","",IF('04_DATA'!D44&lt;PERCENTILE('04_DATA'!$D$2:$D$1001,0.05),"FLAG","ok"))</f>
        <v/>
      </c>
      <c r="H47" s="55">
        <f>IF('04_DATA'!A44="","",IF(OR(C47="EXCLUDE",F47="EXCLUDE"),"Exclude under pre-specified rule",IF(E47&gt;0.15,"Exclude: &gt;15% missing",IF(G47="FLAG","Retain; test in robustness battery","Retain"))))</f>
        <v/>
      </c>
    </row>
    <row r="48">
      <c r="A48" s="55" t="n">
        <v>45</v>
      </c>
      <c r="B48" s="55">
        <f>IF('04_DATA'!A45="","",'04_DATA'!A45)</f>
        <v/>
      </c>
      <c r="C48" s="55">
        <f>IF('04_DATA'!A45="","",IF(AND('04_DATA'!G45=1,'04_DATA'!H45=1,'04_DATA'!I45&gt;=3),"eligible","EXCLUDE"))</f>
        <v/>
      </c>
      <c r="D48" s="55">
        <f>IF('04_DATA'!A45="","",37-COUNT('04_DATA'!$K45:$AU45))</f>
        <v/>
      </c>
      <c r="E48" s="63">
        <f>IF('04_DATA'!A45="","",(37-COUNT('04_DATA'!$K45:$AU45))/37)</f>
        <v/>
      </c>
      <c r="F48" s="55">
        <f>IF('04_DATA'!A45="","",IF(AND(COUNT('04_DATA'!$K45:$AU45)=37,COUNTIF('04_DATA'!$K45:$AU45,INDEX('04_DATA'!$K45:$AU45,1))=37),"EXCLUDE","ok"))</f>
        <v/>
      </c>
      <c r="G48" s="55">
        <f>IF('04_DATA'!A45="","",IF('04_DATA'!D45&lt;PERCENTILE('04_DATA'!$D$2:$D$1001,0.05),"FLAG","ok"))</f>
        <v/>
      </c>
      <c r="H48" s="55">
        <f>IF('04_DATA'!A45="","",IF(OR(C48="EXCLUDE",F48="EXCLUDE"),"Exclude under pre-specified rule",IF(E48&gt;0.15,"Exclude: &gt;15% missing",IF(G48="FLAG","Retain; test in robustness battery","Retain"))))</f>
        <v/>
      </c>
    </row>
    <row r="49">
      <c r="A49" s="55" t="n">
        <v>46</v>
      </c>
      <c r="B49" s="55">
        <f>IF('04_DATA'!A46="","",'04_DATA'!A46)</f>
        <v/>
      </c>
      <c r="C49" s="55">
        <f>IF('04_DATA'!A46="","",IF(AND('04_DATA'!G46=1,'04_DATA'!H46=1,'04_DATA'!I46&gt;=3),"eligible","EXCLUDE"))</f>
        <v/>
      </c>
      <c r="D49" s="55">
        <f>IF('04_DATA'!A46="","",37-COUNT('04_DATA'!$K46:$AU46))</f>
        <v/>
      </c>
      <c r="E49" s="63">
        <f>IF('04_DATA'!A46="","",(37-COUNT('04_DATA'!$K46:$AU46))/37)</f>
        <v/>
      </c>
      <c r="F49" s="55">
        <f>IF('04_DATA'!A46="","",IF(AND(COUNT('04_DATA'!$K46:$AU46)=37,COUNTIF('04_DATA'!$K46:$AU46,INDEX('04_DATA'!$K46:$AU46,1))=37),"EXCLUDE","ok"))</f>
        <v/>
      </c>
      <c r="G49" s="55">
        <f>IF('04_DATA'!A46="","",IF('04_DATA'!D46&lt;PERCENTILE('04_DATA'!$D$2:$D$1001,0.05),"FLAG","ok"))</f>
        <v/>
      </c>
      <c r="H49" s="55">
        <f>IF('04_DATA'!A46="","",IF(OR(C49="EXCLUDE",F49="EXCLUDE"),"Exclude under pre-specified rule",IF(E49&gt;0.15,"Exclude: &gt;15% missing",IF(G49="FLAG","Retain; test in robustness battery","Retain"))))</f>
        <v/>
      </c>
    </row>
    <row r="50">
      <c r="A50" s="55" t="n">
        <v>47</v>
      </c>
      <c r="B50" s="55">
        <f>IF('04_DATA'!A47="","",'04_DATA'!A47)</f>
        <v/>
      </c>
      <c r="C50" s="55">
        <f>IF('04_DATA'!A47="","",IF(AND('04_DATA'!G47=1,'04_DATA'!H47=1,'04_DATA'!I47&gt;=3),"eligible","EXCLUDE"))</f>
        <v/>
      </c>
      <c r="D50" s="55">
        <f>IF('04_DATA'!A47="","",37-COUNT('04_DATA'!$K47:$AU47))</f>
        <v/>
      </c>
      <c r="E50" s="63">
        <f>IF('04_DATA'!A47="","",(37-COUNT('04_DATA'!$K47:$AU47))/37)</f>
        <v/>
      </c>
      <c r="F50" s="55">
        <f>IF('04_DATA'!A47="","",IF(AND(COUNT('04_DATA'!$K47:$AU47)=37,COUNTIF('04_DATA'!$K47:$AU47,INDEX('04_DATA'!$K47:$AU47,1))=37),"EXCLUDE","ok"))</f>
        <v/>
      </c>
      <c r="G50" s="55">
        <f>IF('04_DATA'!A47="","",IF('04_DATA'!D47&lt;PERCENTILE('04_DATA'!$D$2:$D$1001,0.05),"FLAG","ok"))</f>
        <v/>
      </c>
      <c r="H50" s="55">
        <f>IF('04_DATA'!A47="","",IF(OR(C50="EXCLUDE",F50="EXCLUDE"),"Exclude under pre-specified rule",IF(E50&gt;0.15,"Exclude: &gt;15% missing",IF(G50="FLAG","Retain; test in robustness battery","Retain"))))</f>
        <v/>
      </c>
    </row>
    <row r="51">
      <c r="A51" s="55" t="n">
        <v>48</v>
      </c>
      <c r="B51" s="55">
        <f>IF('04_DATA'!A48="","",'04_DATA'!A48)</f>
        <v/>
      </c>
      <c r="C51" s="55">
        <f>IF('04_DATA'!A48="","",IF(AND('04_DATA'!G48=1,'04_DATA'!H48=1,'04_DATA'!I48&gt;=3),"eligible","EXCLUDE"))</f>
        <v/>
      </c>
      <c r="D51" s="55">
        <f>IF('04_DATA'!A48="","",37-COUNT('04_DATA'!$K48:$AU48))</f>
        <v/>
      </c>
      <c r="E51" s="63">
        <f>IF('04_DATA'!A48="","",(37-COUNT('04_DATA'!$K48:$AU48))/37)</f>
        <v/>
      </c>
      <c r="F51" s="55">
        <f>IF('04_DATA'!A48="","",IF(AND(COUNT('04_DATA'!$K48:$AU48)=37,COUNTIF('04_DATA'!$K48:$AU48,INDEX('04_DATA'!$K48:$AU48,1))=37),"EXCLUDE","ok"))</f>
        <v/>
      </c>
      <c r="G51" s="55">
        <f>IF('04_DATA'!A48="","",IF('04_DATA'!D48&lt;PERCENTILE('04_DATA'!$D$2:$D$1001,0.05),"FLAG","ok"))</f>
        <v/>
      </c>
      <c r="H51" s="55">
        <f>IF('04_DATA'!A48="","",IF(OR(C51="EXCLUDE",F51="EXCLUDE"),"Exclude under pre-specified rule",IF(E51&gt;0.15,"Exclude: &gt;15% missing",IF(G51="FLAG","Retain; test in robustness battery","Retain"))))</f>
        <v/>
      </c>
    </row>
    <row r="52">
      <c r="A52" s="55" t="n">
        <v>49</v>
      </c>
      <c r="B52" s="55">
        <f>IF('04_DATA'!A49="","",'04_DATA'!A49)</f>
        <v/>
      </c>
      <c r="C52" s="55">
        <f>IF('04_DATA'!A49="","",IF(AND('04_DATA'!G49=1,'04_DATA'!H49=1,'04_DATA'!I49&gt;=3),"eligible","EXCLUDE"))</f>
        <v/>
      </c>
      <c r="D52" s="55">
        <f>IF('04_DATA'!A49="","",37-COUNT('04_DATA'!$K49:$AU49))</f>
        <v/>
      </c>
      <c r="E52" s="63">
        <f>IF('04_DATA'!A49="","",(37-COUNT('04_DATA'!$K49:$AU49))/37)</f>
        <v/>
      </c>
      <c r="F52" s="55">
        <f>IF('04_DATA'!A49="","",IF(AND(COUNT('04_DATA'!$K49:$AU49)=37,COUNTIF('04_DATA'!$K49:$AU49,INDEX('04_DATA'!$K49:$AU49,1))=37),"EXCLUDE","ok"))</f>
        <v/>
      </c>
      <c r="G52" s="55">
        <f>IF('04_DATA'!A49="","",IF('04_DATA'!D49&lt;PERCENTILE('04_DATA'!$D$2:$D$1001,0.05),"FLAG","ok"))</f>
        <v/>
      </c>
      <c r="H52" s="55">
        <f>IF('04_DATA'!A49="","",IF(OR(C52="EXCLUDE",F52="EXCLUDE"),"Exclude under pre-specified rule",IF(E52&gt;0.15,"Exclude: &gt;15% missing",IF(G52="FLAG","Retain; test in robustness battery","Retain"))))</f>
        <v/>
      </c>
    </row>
    <row r="53">
      <c r="A53" s="55" t="n">
        <v>50</v>
      </c>
      <c r="B53" s="55">
        <f>IF('04_DATA'!A50="","",'04_DATA'!A50)</f>
        <v/>
      </c>
      <c r="C53" s="55">
        <f>IF('04_DATA'!A50="","",IF(AND('04_DATA'!G50=1,'04_DATA'!H50=1,'04_DATA'!I50&gt;=3),"eligible","EXCLUDE"))</f>
        <v/>
      </c>
      <c r="D53" s="55">
        <f>IF('04_DATA'!A50="","",37-COUNT('04_DATA'!$K50:$AU50))</f>
        <v/>
      </c>
      <c r="E53" s="63">
        <f>IF('04_DATA'!A50="","",(37-COUNT('04_DATA'!$K50:$AU50))/37)</f>
        <v/>
      </c>
      <c r="F53" s="55">
        <f>IF('04_DATA'!A50="","",IF(AND(COUNT('04_DATA'!$K50:$AU50)=37,COUNTIF('04_DATA'!$K50:$AU50,INDEX('04_DATA'!$K50:$AU50,1))=37),"EXCLUDE","ok"))</f>
        <v/>
      </c>
      <c r="G53" s="55">
        <f>IF('04_DATA'!A50="","",IF('04_DATA'!D50&lt;PERCENTILE('04_DATA'!$D$2:$D$1001,0.05),"FLAG","ok"))</f>
        <v/>
      </c>
      <c r="H53" s="55">
        <f>IF('04_DATA'!A50="","",IF(OR(C53="EXCLUDE",F53="EXCLUDE"),"Exclude under pre-specified rule",IF(E53&gt;0.15,"Exclude: &gt;15% missing",IF(G53="FLAG","Retain; test in robustness battery","Retain"))))</f>
        <v/>
      </c>
    </row>
    <row r="54">
      <c r="A54" s="55" t="n">
        <v>51</v>
      </c>
      <c r="B54" s="55">
        <f>IF('04_DATA'!A51="","",'04_DATA'!A51)</f>
        <v/>
      </c>
      <c r="C54" s="55">
        <f>IF('04_DATA'!A51="","",IF(AND('04_DATA'!G51=1,'04_DATA'!H51=1,'04_DATA'!I51&gt;=3),"eligible","EXCLUDE"))</f>
        <v/>
      </c>
      <c r="D54" s="55">
        <f>IF('04_DATA'!A51="","",37-COUNT('04_DATA'!$K51:$AU51))</f>
        <v/>
      </c>
      <c r="E54" s="63">
        <f>IF('04_DATA'!A51="","",(37-COUNT('04_DATA'!$K51:$AU51))/37)</f>
        <v/>
      </c>
      <c r="F54" s="55">
        <f>IF('04_DATA'!A51="","",IF(AND(COUNT('04_DATA'!$K51:$AU51)=37,COUNTIF('04_DATA'!$K51:$AU51,INDEX('04_DATA'!$K51:$AU51,1))=37),"EXCLUDE","ok"))</f>
        <v/>
      </c>
      <c r="G54" s="55">
        <f>IF('04_DATA'!A51="","",IF('04_DATA'!D51&lt;PERCENTILE('04_DATA'!$D$2:$D$1001,0.05),"FLAG","ok"))</f>
        <v/>
      </c>
      <c r="H54" s="55">
        <f>IF('04_DATA'!A51="","",IF(OR(C54="EXCLUDE",F54="EXCLUDE"),"Exclude under pre-specified rule",IF(E54&gt;0.15,"Exclude: &gt;15% missing",IF(G54="FLAG","Retain; test in robustness battery","Retain"))))</f>
        <v/>
      </c>
    </row>
    <row r="55">
      <c r="A55" s="55" t="n">
        <v>52</v>
      </c>
      <c r="B55" s="55">
        <f>IF('04_DATA'!A52="","",'04_DATA'!A52)</f>
        <v/>
      </c>
      <c r="C55" s="55">
        <f>IF('04_DATA'!A52="","",IF(AND('04_DATA'!G52=1,'04_DATA'!H52=1,'04_DATA'!I52&gt;=3),"eligible","EXCLUDE"))</f>
        <v/>
      </c>
      <c r="D55" s="55">
        <f>IF('04_DATA'!A52="","",37-COUNT('04_DATA'!$K52:$AU52))</f>
        <v/>
      </c>
      <c r="E55" s="63">
        <f>IF('04_DATA'!A52="","",(37-COUNT('04_DATA'!$K52:$AU52))/37)</f>
        <v/>
      </c>
      <c r="F55" s="55">
        <f>IF('04_DATA'!A52="","",IF(AND(COUNT('04_DATA'!$K52:$AU52)=37,COUNTIF('04_DATA'!$K52:$AU52,INDEX('04_DATA'!$K52:$AU52,1))=37),"EXCLUDE","ok"))</f>
        <v/>
      </c>
      <c r="G55" s="55">
        <f>IF('04_DATA'!A52="","",IF('04_DATA'!D52&lt;PERCENTILE('04_DATA'!$D$2:$D$1001,0.05),"FLAG","ok"))</f>
        <v/>
      </c>
      <c r="H55" s="55">
        <f>IF('04_DATA'!A52="","",IF(OR(C55="EXCLUDE",F55="EXCLUDE"),"Exclude under pre-specified rule",IF(E55&gt;0.15,"Exclude: &gt;15% missing",IF(G55="FLAG","Retain; test in robustness battery","Retain"))))</f>
        <v/>
      </c>
    </row>
    <row r="56">
      <c r="A56" s="55" t="n">
        <v>53</v>
      </c>
      <c r="B56" s="55">
        <f>IF('04_DATA'!A53="","",'04_DATA'!A53)</f>
        <v/>
      </c>
      <c r="C56" s="55">
        <f>IF('04_DATA'!A53="","",IF(AND('04_DATA'!G53=1,'04_DATA'!H53=1,'04_DATA'!I53&gt;=3),"eligible","EXCLUDE"))</f>
        <v/>
      </c>
      <c r="D56" s="55">
        <f>IF('04_DATA'!A53="","",37-COUNT('04_DATA'!$K53:$AU53))</f>
        <v/>
      </c>
      <c r="E56" s="63">
        <f>IF('04_DATA'!A53="","",(37-COUNT('04_DATA'!$K53:$AU53))/37)</f>
        <v/>
      </c>
      <c r="F56" s="55">
        <f>IF('04_DATA'!A53="","",IF(AND(COUNT('04_DATA'!$K53:$AU53)=37,COUNTIF('04_DATA'!$K53:$AU53,INDEX('04_DATA'!$K53:$AU53,1))=37),"EXCLUDE","ok"))</f>
        <v/>
      </c>
      <c r="G56" s="55">
        <f>IF('04_DATA'!A53="","",IF('04_DATA'!D53&lt;PERCENTILE('04_DATA'!$D$2:$D$1001,0.05),"FLAG","ok"))</f>
        <v/>
      </c>
      <c r="H56" s="55">
        <f>IF('04_DATA'!A53="","",IF(OR(C56="EXCLUDE",F56="EXCLUDE"),"Exclude under pre-specified rule",IF(E56&gt;0.15,"Exclude: &gt;15% missing",IF(G56="FLAG","Retain; test in robustness battery","Retain"))))</f>
        <v/>
      </c>
    </row>
    <row r="57">
      <c r="A57" s="55" t="n">
        <v>54</v>
      </c>
      <c r="B57" s="55">
        <f>IF('04_DATA'!A54="","",'04_DATA'!A54)</f>
        <v/>
      </c>
      <c r="C57" s="55">
        <f>IF('04_DATA'!A54="","",IF(AND('04_DATA'!G54=1,'04_DATA'!H54=1,'04_DATA'!I54&gt;=3),"eligible","EXCLUDE"))</f>
        <v/>
      </c>
      <c r="D57" s="55">
        <f>IF('04_DATA'!A54="","",37-COUNT('04_DATA'!$K54:$AU54))</f>
        <v/>
      </c>
      <c r="E57" s="63">
        <f>IF('04_DATA'!A54="","",(37-COUNT('04_DATA'!$K54:$AU54))/37)</f>
        <v/>
      </c>
      <c r="F57" s="55">
        <f>IF('04_DATA'!A54="","",IF(AND(COUNT('04_DATA'!$K54:$AU54)=37,COUNTIF('04_DATA'!$K54:$AU54,INDEX('04_DATA'!$K54:$AU54,1))=37),"EXCLUDE","ok"))</f>
        <v/>
      </c>
      <c r="G57" s="55">
        <f>IF('04_DATA'!A54="","",IF('04_DATA'!D54&lt;PERCENTILE('04_DATA'!$D$2:$D$1001,0.05),"FLAG","ok"))</f>
        <v/>
      </c>
      <c r="H57" s="55">
        <f>IF('04_DATA'!A54="","",IF(OR(C57="EXCLUDE",F57="EXCLUDE"),"Exclude under pre-specified rule",IF(E57&gt;0.15,"Exclude: &gt;15% missing",IF(G57="FLAG","Retain; test in robustness battery","Retain"))))</f>
        <v/>
      </c>
    </row>
    <row r="58">
      <c r="A58" s="55" t="n">
        <v>55</v>
      </c>
      <c r="B58" s="55">
        <f>IF('04_DATA'!A55="","",'04_DATA'!A55)</f>
        <v/>
      </c>
      <c r="C58" s="55">
        <f>IF('04_DATA'!A55="","",IF(AND('04_DATA'!G55=1,'04_DATA'!H55=1,'04_DATA'!I55&gt;=3),"eligible","EXCLUDE"))</f>
        <v/>
      </c>
      <c r="D58" s="55">
        <f>IF('04_DATA'!A55="","",37-COUNT('04_DATA'!$K55:$AU55))</f>
        <v/>
      </c>
      <c r="E58" s="63">
        <f>IF('04_DATA'!A55="","",(37-COUNT('04_DATA'!$K55:$AU55))/37)</f>
        <v/>
      </c>
      <c r="F58" s="55">
        <f>IF('04_DATA'!A55="","",IF(AND(COUNT('04_DATA'!$K55:$AU55)=37,COUNTIF('04_DATA'!$K55:$AU55,INDEX('04_DATA'!$K55:$AU55,1))=37),"EXCLUDE","ok"))</f>
        <v/>
      </c>
      <c r="G58" s="55">
        <f>IF('04_DATA'!A55="","",IF('04_DATA'!D55&lt;PERCENTILE('04_DATA'!$D$2:$D$1001,0.05),"FLAG","ok"))</f>
        <v/>
      </c>
      <c r="H58" s="55">
        <f>IF('04_DATA'!A55="","",IF(OR(C58="EXCLUDE",F58="EXCLUDE"),"Exclude under pre-specified rule",IF(E58&gt;0.15,"Exclude: &gt;15% missing",IF(G58="FLAG","Retain; test in robustness battery","Retain"))))</f>
        <v/>
      </c>
    </row>
    <row r="59">
      <c r="A59" s="55" t="n">
        <v>56</v>
      </c>
      <c r="B59" s="55">
        <f>IF('04_DATA'!A56="","",'04_DATA'!A56)</f>
        <v/>
      </c>
      <c r="C59" s="55">
        <f>IF('04_DATA'!A56="","",IF(AND('04_DATA'!G56=1,'04_DATA'!H56=1,'04_DATA'!I56&gt;=3),"eligible","EXCLUDE"))</f>
        <v/>
      </c>
      <c r="D59" s="55">
        <f>IF('04_DATA'!A56="","",37-COUNT('04_DATA'!$K56:$AU56))</f>
        <v/>
      </c>
      <c r="E59" s="63">
        <f>IF('04_DATA'!A56="","",(37-COUNT('04_DATA'!$K56:$AU56))/37)</f>
        <v/>
      </c>
      <c r="F59" s="55">
        <f>IF('04_DATA'!A56="","",IF(AND(COUNT('04_DATA'!$K56:$AU56)=37,COUNTIF('04_DATA'!$K56:$AU56,INDEX('04_DATA'!$K56:$AU56,1))=37),"EXCLUDE","ok"))</f>
        <v/>
      </c>
      <c r="G59" s="55">
        <f>IF('04_DATA'!A56="","",IF('04_DATA'!D56&lt;PERCENTILE('04_DATA'!$D$2:$D$1001,0.05),"FLAG","ok"))</f>
        <v/>
      </c>
      <c r="H59" s="55">
        <f>IF('04_DATA'!A56="","",IF(OR(C59="EXCLUDE",F59="EXCLUDE"),"Exclude under pre-specified rule",IF(E59&gt;0.15,"Exclude: &gt;15% missing",IF(G59="FLAG","Retain; test in robustness battery","Retain"))))</f>
        <v/>
      </c>
    </row>
    <row r="60">
      <c r="A60" s="55" t="n">
        <v>57</v>
      </c>
      <c r="B60" s="55">
        <f>IF('04_DATA'!A57="","",'04_DATA'!A57)</f>
        <v/>
      </c>
      <c r="C60" s="55">
        <f>IF('04_DATA'!A57="","",IF(AND('04_DATA'!G57=1,'04_DATA'!H57=1,'04_DATA'!I57&gt;=3),"eligible","EXCLUDE"))</f>
        <v/>
      </c>
      <c r="D60" s="55">
        <f>IF('04_DATA'!A57="","",37-COUNT('04_DATA'!$K57:$AU57))</f>
        <v/>
      </c>
      <c r="E60" s="63">
        <f>IF('04_DATA'!A57="","",(37-COUNT('04_DATA'!$K57:$AU57))/37)</f>
        <v/>
      </c>
      <c r="F60" s="55">
        <f>IF('04_DATA'!A57="","",IF(AND(COUNT('04_DATA'!$K57:$AU57)=37,COUNTIF('04_DATA'!$K57:$AU57,INDEX('04_DATA'!$K57:$AU57,1))=37),"EXCLUDE","ok"))</f>
        <v/>
      </c>
      <c r="G60" s="55">
        <f>IF('04_DATA'!A57="","",IF('04_DATA'!D57&lt;PERCENTILE('04_DATA'!$D$2:$D$1001,0.05),"FLAG","ok"))</f>
        <v/>
      </c>
      <c r="H60" s="55">
        <f>IF('04_DATA'!A57="","",IF(OR(C60="EXCLUDE",F60="EXCLUDE"),"Exclude under pre-specified rule",IF(E60&gt;0.15,"Exclude: &gt;15% missing",IF(G60="FLAG","Retain; test in robustness battery","Retain"))))</f>
        <v/>
      </c>
    </row>
    <row r="61">
      <c r="A61" s="55" t="n">
        <v>58</v>
      </c>
      <c r="B61" s="55">
        <f>IF('04_DATA'!A58="","",'04_DATA'!A58)</f>
        <v/>
      </c>
      <c r="C61" s="55">
        <f>IF('04_DATA'!A58="","",IF(AND('04_DATA'!G58=1,'04_DATA'!H58=1,'04_DATA'!I58&gt;=3),"eligible","EXCLUDE"))</f>
        <v/>
      </c>
      <c r="D61" s="55">
        <f>IF('04_DATA'!A58="","",37-COUNT('04_DATA'!$K58:$AU58))</f>
        <v/>
      </c>
      <c r="E61" s="63">
        <f>IF('04_DATA'!A58="","",(37-COUNT('04_DATA'!$K58:$AU58))/37)</f>
        <v/>
      </c>
      <c r="F61" s="55">
        <f>IF('04_DATA'!A58="","",IF(AND(COUNT('04_DATA'!$K58:$AU58)=37,COUNTIF('04_DATA'!$K58:$AU58,INDEX('04_DATA'!$K58:$AU58,1))=37),"EXCLUDE","ok"))</f>
        <v/>
      </c>
      <c r="G61" s="55">
        <f>IF('04_DATA'!A58="","",IF('04_DATA'!D58&lt;PERCENTILE('04_DATA'!$D$2:$D$1001,0.05),"FLAG","ok"))</f>
        <v/>
      </c>
      <c r="H61" s="55">
        <f>IF('04_DATA'!A58="","",IF(OR(C61="EXCLUDE",F61="EXCLUDE"),"Exclude under pre-specified rule",IF(E61&gt;0.15,"Exclude: &gt;15% missing",IF(G61="FLAG","Retain; test in robustness battery","Retain"))))</f>
        <v/>
      </c>
    </row>
    <row r="62">
      <c r="A62" s="55" t="n">
        <v>59</v>
      </c>
      <c r="B62" s="55">
        <f>IF('04_DATA'!A59="","",'04_DATA'!A59)</f>
        <v/>
      </c>
      <c r="C62" s="55">
        <f>IF('04_DATA'!A59="","",IF(AND('04_DATA'!G59=1,'04_DATA'!H59=1,'04_DATA'!I59&gt;=3),"eligible","EXCLUDE"))</f>
        <v/>
      </c>
      <c r="D62" s="55">
        <f>IF('04_DATA'!A59="","",37-COUNT('04_DATA'!$K59:$AU59))</f>
        <v/>
      </c>
      <c r="E62" s="63">
        <f>IF('04_DATA'!A59="","",(37-COUNT('04_DATA'!$K59:$AU59))/37)</f>
        <v/>
      </c>
      <c r="F62" s="55">
        <f>IF('04_DATA'!A59="","",IF(AND(COUNT('04_DATA'!$K59:$AU59)=37,COUNTIF('04_DATA'!$K59:$AU59,INDEX('04_DATA'!$K59:$AU59,1))=37),"EXCLUDE","ok"))</f>
        <v/>
      </c>
      <c r="G62" s="55">
        <f>IF('04_DATA'!A59="","",IF('04_DATA'!D59&lt;PERCENTILE('04_DATA'!$D$2:$D$1001,0.05),"FLAG","ok"))</f>
        <v/>
      </c>
      <c r="H62" s="55">
        <f>IF('04_DATA'!A59="","",IF(OR(C62="EXCLUDE",F62="EXCLUDE"),"Exclude under pre-specified rule",IF(E62&gt;0.15,"Exclude: &gt;15% missing",IF(G62="FLAG","Retain; test in robustness battery","Retain"))))</f>
        <v/>
      </c>
    </row>
    <row r="63">
      <c r="A63" s="55" t="n">
        <v>60</v>
      </c>
      <c r="B63" s="55">
        <f>IF('04_DATA'!A60="","",'04_DATA'!A60)</f>
        <v/>
      </c>
      <c r="C63" s="55">
        <f>IF('04_DATA'!A60="","",IF(AND('04_DATA'!G60=1,'04_DATA'!H60=1,'04_DATA'!I60&gt;=3),"eligible","EXCLUDE"))</f>
        <v/>
      </c>
      <c r="D63" s="55">
        <f>IF('04_DATA'!A60="","",37-COUNT('04_DATA'!$K60:$AU60))</f>
        <v/>
      </c>
      <c r="E63" s="63">
        <f>IF('04_DATA'!A60="","",(37-COUNT('04_DATA'!$K60:$AU60))/37)</f>
        <v/>
      </c>
      <c r="F63" s="55">
        <f>IF('04_DATA'!A60="","",IF(AND(COUNT('04_DATA'!$K60:$AU60)=37,COUNTIF('04_DATA'!$K60:$AU60,INDEX('04_DATA'!$K60:$AU60,1))=37),"EXCLUDE","ok"))</f>
        <v/>
      </c>
      <c r="G63" s="55">
        <f>IF('04_DATA'!A60="","",IF('04_DATA'!D60&lt;PERCENTILE('04_DATA'!$D$2:$D$1001,0.05),"FLAG","ok"))</f>
        <v/>
      </c>
      <c r="H63" s="55">
        <f>IF('04_DATA'!A60="","",IF(OR(C63="EXCLUDE",F63="EXCLUDE"),"Exclude under pre-specified rule",IF(E63&gt;0.15,"Exclude: &gt;15% missing",IF(G63="FLAG","Retain; test in robustness battery","Retain"))))</f>
        <v/>
      </c>
    </row>
    <row r="64">
      <c r="A64" s="55" t="n">
        <v>61</v>
      </c>
      <c r="B64" s="55">
        <f>IF('04_DATA'!A61="","",'04_DATA'!A61)</f>
        <v/>
      </c>
      <c r="C64" s="55">
        <f>IF('04_DATA'!A61="","",IF(AND('04_DATA'!G61=1,'04_DATA'!H61=1,'04_DATA'!I61&gt;=3),"eligible","EXCLUDE"))</f>
        <v/>
      </c>
      <c r="D64" s="55">
        <f>IF('04_DATA'!A61="","",37-COUNT('04_DATA'!$K61:$AU61))</f>
        <v/>
      </c>
      <c r="E64" s="63">
        <f>IF('04_DATA'!A61="","",(37-COUNT('04_DATA'!$K61:$AU61))/37)</f>
        <v/>
      </c>
      <c r="F64" s="55">
        <f>IF('04_DATA'!A61="","",IF(AND(COUNT('04_DATA'!$K61:$AU61)=37,COUNTIF('04_DATA'!$K61:$AU61,INDEX('04_DATA'!$K61:$AU61,1))=37),"EXCLUDE","ok"))</f>
        <v/>
      </c>
      <c r="G64" s="55">
        <f>IF('04_DATA'!A61="","",IF('04_DATA'!D61&lt;PERCENTILE('04_DATA'!$D$2:$D$1001,0.05),"FLAG","ok"))</f>
        <v/>
      </c>
      <c r="H64" s="55">
        <f>IF('04_DATA'!A61="","",IF(OR(C64="EXCLUDE",F64="EXCLUDE"),"Exclude under pre-specified rule",IF(E64&gt;0.15,"Exclude: &gt;15% missing",IF(G64="FLAG","Retain; test in robustness battery","Retain"))))</f>
        <v/>
      </c>
    </row>
    <row r="65">
      <c r="A65" s="55" t="n">
        <v>62</v>
      </c>
      <c r="B65" s="55">
        <f>IF('04_DATA'!A62="","",'04_DATA'!A62)</f>
        <v/>
      </c>
      <c r="C65" s="55">
        <f>IF('04_DATA'!A62="","",IF(AND('04_DATA'!G62=1,'04_DATA'!H62=1,'04_DATA'!I62&gt;=3),"eligible","EXCLUDE"))</f>
        <v/>
      </c>
      <c r="D65" s="55">
        <f>IF('04_DATA'!A62="","",37-COUNT('04_DATA'!$K62:$AU62))</f>
        <v/>
      </c>
      <c r="E65" s="63">
        <f>IF('04_DATA'!A62="","",(37-COUNT('04_DATA'!$K62:$AU62))/37)</f>
        <v/>
      </c>
      <c r="F65" s="55">
        <f>IF('04_DATA'!A62="","",IF(AND(COUNT('04_DATA'!$K62:$AU62)=37,COUNTIF('04_DATA'!$K62:$AU62,INDEX('04_DATA'!$K62:$AU62,1))=37),"EXCLUDE","ok"))</f>
        <v/>
      </c>
      <c r="G65" s="55">
        <f>IF('04_DATA'!A62="","",IF('04_DATA'!D62&lt;PERCENTILE('04_DATA'!$D$2:$D$1001,0.05),"FLAG","ok"))</f>
        <v/>
      </c>
      <c r="H65" s="55">
        <f>IF('04_DATA'!A62="","",IF(OR(C65="EXCLUDE",F65="EXCLUDE"),"Exclude under pre-specified rule",IF(E65&gt;0.15,"Exclude: &gt;15% missing",IF(G65="FLAG","Retain; test in robustness battery","Retain"))))</f>
        <v/>
      </c>
    </row>
    <row r="66">
      <c r="A66" s="55" t="n">
        <v>63</v>
      </c>
      <c r="B66" s="55">
        <f>IF('04_DATA'!A63="","",'04_DATA'!A63)</f>
        <v/>
      </c>
      <c r="C66" s="55">
        <f>IF('04_DATA'!A63="","",IF(AND('04_DATA'!G63=1,'04_DATA'!H63=1,'04_DATA'!I63&gt;=3),"eligible","EXCLUDE"))</f>
        <v/>
      </c>
      <c r="D66" s="55">
        <f>IF('04_DATA'!A63="","",37-COUNT('04_DATA'!$K63:$AU63))</f>
        <v/>
      </c>
      <c r="E66" s="63">
        <f>IF('04_DATA'!A63="","",(37-COUNT('04_DATA'!$K63:$AU63))/37)</f>
        <v/>
      </c>
      <c r="F66" s="55">
        <f>IF('04_DATA'!A63="","",IF(AND(COUNT('04_DATA'!$K63:$AU63)=37,COUNTIF('04_DATA'!$K63:$AU63,INDEX('04_DATA'!$K63:$AU63,1))=37),"EXCLUDE","ok"))</f>
        <v/>
      </c>
      <c r="G66" s="55">
        <f>IF('04_DATA'!A63="","",IF('04_DATA'!D63&lt;PERCENTILE('04_DATA'!$D$2:$D$1001,0.05),"FLAG","ok"))</f>
        <v/>
      </c>
      <c r="H66" s="55">
        <f>IF('04_DATA'!A63="","",IF(OR(C66="EXCLUDE",F66="EXCLUDE"),"Exclude under pre-specified rule",IF(E66&gt;0.15,"Exclude: &gt;15% missing",IF(G66="FLAG","Retain; test in robustness battery","Retain"))))</f>
        <v/>
      </c>
    </row>
    <row r="67">
      <c r="A67" s="55" t="n">
        <v>64</v>
      </c>
      <c r="B67" s="55">
        <f>IF('04_DATA'!A64="","",'04_DATA'!A64)</f>
        <v/>
      </c>
      <c r="C67" s="55">
        <f>IF('04_DATA'!A64="","",IF(AND('04_DATA'!G64=1,'04_DATA'!H64=1,'04_DATA'!I64&gt;=3),"eligible","EXCLUDE"))</f>
        <v/>
      </c>
      <c r="D67" s="55">
        <f>IF('04_DATA'!A64="","",37-COUNT('04_DATA'!$K64:$AU64))</f>
        <v/>
      </c>
      <c r="E67" s="63">
        <f>IF('04_DATA'!A64="","",(37-COUNT('04_DATA'!$K64:$AU64))/37)</f>
        <v/>
      </c>
      <c r="F67" s="55">
        <f>IF('04_DATA'!A64="","",IF(AND(COUNT('04_DATA'!$K64:$AU64)=37,COUNTIF('04_DATA'!$K64:$AU64,INDEX('04_DATA'!$K64:$AU64,1))=37),"EXCLUDE","ok"))</f>
        <v/>
      </c>
      <c r="G67" s="55">
        <f>IF('04_DATA'!A64="","",IF('04_DATA'!D64&lt;PERCENTILE('04_DATA'!$D$2:$D$1001,0.05),"FLAG","ok"))</f>
        <v/>
      </c>
      <c r="H67" s="55">
        <f>IF('04_DATA'!A64="","",IF(OR(C67="EXCLUDE",F67="EXCLUDE"),"Exclude under pre-specified rule",IF(E67&gt;0.15,"Exclude: &gt;15% missing",IF(G67="FLAG","Retain; test in robustness battery","Retain"))))</f>
        <v/>
      </c>
    </row>
    <row r="68">
      <c r="A68" s="55" t="n">
        <v>65</v>
      </c>
      <c r="B68" s="55">
        <f>IF('04_DATA'!A65="","",'04_DATA'!A65)</f>
        <v/>
      </c>
      <c r="C68" s="55">
        <f>IF('04_DATA'!A65="","",IF(AND('04_DATA'!G65=1,'04_DATA'!H65=1,'04_DATA'!I65&gt;=3),"eligible","EXCLUDE"))</f>
        <v/>
      </c>
      <c r="D68" s="55">
        <f>IF('04_DATA'!A65="","",37-COUNT('04_DATA'!$K65:$AU65))</f>
        <v/>
      </c>
      <c r="E68" s="63">
        <f>IF('04_DATA'!A65="","",(37-COUNT('04_DATA'!$K65:$AU65))/37)</f>
        <v/>
      </c>
      <c r="F68" s="55">
        <f>IF('04_DATA'!A65="","",IF(AND(COUNT('04_DATA'!$K65:$AU65)=37,COUNTIF('04_DATA'!$K65:$AU65,INDEX('04_DATA'!$K65:$AU65,1))=37),"EXCLUDE","ok"))</f>
        <v/>
      </c>
      <c r="G68" s="55">
        <f>IF('04_DATA'!A65="","",IF('04_DATA'!D65&lt;PERCENTILE('04_DATA'!$D$2:$D$1001,0.05),"FLAG","ok"))</f>
        <v/>
      </c>
      <c r="H68" s="55">
        <f>IF('04_DATA'!A65="","",IF(OR(C68="EXCLUDE",F68="EXCLUDE"),"Exclude under pre-specified rule",IF(E68&gt;0.15,"Exclude: &gt;15% missing",IF(G68="FLAG","Retain; test in robustness battery","Retain"))))</f>
        <v/>
      </c>
    </row>
    <row r="69">
      <c r="A69" s="55" t="n">
        <v>66</v>
      </c>
      <c r="B69" s="55">
        <f>IF('04_DATA'!A66="","",'04_DATA'!A66)</f>
        <v/>
      </c>
      <c r="C69" s="55">
        <f>IF('04_DATA'!A66="","",IF(AND('04_DATA'!G66=1,'04_DATA'!H66=1,'04_DATA'!I66&gt;=3),"eligible","EXCLUDE"))</f>
        <v/>
      </c>
      <c r="D69" s="55">
        <f>IF('04_DATA'!A66="","",37-COUNT('04_DATA'!$K66:$AU66))</f>
        <v/>
      </c>
      <c r="E69" s="63">
        <f>IF('04_DATA'!A66="","",(37-COUNT('04_DATA'!$K66:$AU66))/37)</f>
        <v/>
      </c>
      <c r="F69" s="55">
        <f>IF('04_DATA'!A66="","",IF(AND(COUNT('04_DATA'!$K66:$AU66)=37,COUNTIF('04_DATA'!$K66:$AU66,INDEX('04_DATA'!$K66:$AU66,1))=37),"EXCLUDE","ok"))</f>
        <v/>
      </c>
      <c r="G69" s="55">
        <f>IF('04_DATA'!A66="","",IF('04_DATA'!D66&lt;PERCENTILE('04_DATA'!$D$2:$D$1001,0.05),"FLAG","ok"))</f>
        <v/>
      </c>
      <c r="H69" s="55">
        <f>IF('04_DATA'!A66="","",IF(OR(C69="EXCLUDE",F69="EXCLUDE"),"Exclude under pre-specified rule",IF(E69&gt;0.15,"Exclude: &gt;15% missing",IF(G69="FLAG","Retain; test in robustness battery","Retain"))))</f>
        <v/>
      </c>
    </row>
    <row r="70">
      <c r="A70" s="55" t="n">
        <v>67</v>
      </c>
      <c r="B70" s="55">
        <f>IF('04_DATA'!A67="","",'04_DATA'!A67)</f>
        <v/>
      </c>
      <c r="C70" s="55">
        <f>IF('04_DATA'!A67="","",IF(AND('04_DATA'!G67=1,'04_DATA'!H67=1,'04_DATA'!I67&gt;=3),"eligible","EXCLUDE"))</f>
        <v/>
      </c>
      <c r="D70" s="55">
        <f>IF('04_DATA'!A67="","",37-COUNT('04_DATA'!$K67:$AU67))</f>
        <v/>
      </c>
      <c r="E70" s="63">
        <f>IF('04_DATA'!A67="","",(37-COUNT('04_DATA'!$K67:$AU67))/37)</f>
        <v/>
      </c>
      <c r="F70" s="55">
        <f>IF('04_DATA'!A67="","",IF(AND(COUNT('04_DATA'!$K67:$AU67)=37,COUNTIF('04_DATA'!$K67:$AU67,INDEX('04_DATA'!$K67:$AU67,1))=37),"EXCLUDE","ok"))</f>
        <v/>
      </c>
      <c r="G70" s="55">
        <f>IF('04_DATA'!A67="","",IF('04_DATA'!D67&lt;PERCENTILE('04_DATA'!$D$2:$D$1001,0.05),"FLAG","ok"))</f>
        <v/>
      </c>
      <c r="H70" s="55">
        <f>IF('04_DATA'!A67="","",IF(OR(C70="EXCLUDE",F70="EXCLUDE"),"Exclude under pre-specified rule",IF(E70&gt;0.15,"Exclude: &gt;15% missing",IF(G70="FLAG","Retain; test in robustness battery","Retain"))))</f>
        <v/>
      </c>
    </row>
    <row r="71">
      <c r="A71" s="55" t="n">
        <v>68</v>
      </c>
      <c r="B71" s="55">
        <f>IF('04_DATA'!A68="","",'04_DATA'!A68)</f>
        <v/>
      </c>
      <c r="C71" s="55">
        <f>IF('04_DATA'!A68="","",IF(AND('04_DATA'!G68=1,'04_DATA'!H68=1,'04_DATA'!I68&gt;=3),"eligible","EXCLUDE"))</f>
        <v/>
      </c>
      <c r="D71" s="55">
        <f>IF('04_DATA'!A68="","",37-COUNT('04_DATA'!$K68:$AU68))</f>
        <v/>
      </c>
      <c r="E71" s="63">
        <f>IF('04_DATA'!A68="","",(37-COUNT('04_DATA'!$K68:$AU68))/37)</f>
        <v/>
      </c>
      <c r="F71" s="55">
        <f>IF('04_DATA'!A68="","",IF(AND(COUNT('04_DATA'!$K68:$AU68)=37,COUNTIF('04_DATA'!$K68:$AU68,INDEX('04_DATA'!$K68:$AU68,1))=37),"EXCLUDE","ok"))</f>
        <v/>
      </c>
      <c r="G71" s="55">
        <f>IF('04_DATA'!A68="","",IF('04_DATA'!D68&lt;PERCENTILE('04_DATA'!$D$2:$D$1001,0.05),"FLAG","ok"))</f>
        <v/>
      </c>
      <c r="H71" s="55">
        <f>IF('04_DATA'!A68="","",IF(OR(C71="EXCLUDE",F71="EXCLUDE"),"Exclude under pre-specified rule",IF(E71&gt;0.15,"Exclude: &gt;15% missing",IF(G71="FLAG","Retain; test in robustness battery","Retain"))))</f>
        <v/>
      </c>
    </row>
    <row r="72">
      <c r="A72" s="55" t="n">
        <v>69</v>
      </c>
      <c r="B72" s="55">
        <f>IF('04_DATA'!A69="","",'04_DATA'!A69)</f>
        <v/>
      </c>
      <c r="C72" s="55">
        <f>IF('04_DATA'!A69="","",IF(AND('04_DATA'!G69=1,'04_DATA'!H69=1,'04_DATA'!I69&gt;=3),"eligible","EXCLUDE"))</f>
        <v/>
      </c>
      <c r="D72" s="55">
        <f>IF('04_DATA'!A69="","",37-COUNT('04_DATA'!$K69:$AU69))</f>
        <v/>
      </c>
      <c r="E72" s="63">
        <f>IF('04_DATA'!A69="","",(37-COUNT('04_DATA'!$K69:$AU69))/37)</f>
        <v/>
      </c>
      <c r="F72" s="55">
        <f>IF('04_DATA'!A69="","",IF(AND(COUNT('04_DATA'!$K69:$AU69)=37,COUNTIF('04_DATA'!$K69:$AU69,INDEX('04_DATA'!$K69:$AU69,1))=37),"EXCLUDE","ok"))</f>
        <v/>
      </c>
      <c r="G72" s="55">
        <f>IF('04_DATA'!A69="","",IF('04_DATA'!D69&lt;PERCENTILE('04_DATA'!$D$2:$D$1001,0.05),"FLAG","ok"))</f>
        <v/>
      </c>
      <c r="H72" s="55">
        <f>IF('04_DATA'!A69="","",IF(OR(C72="EXCLUDE",F72="EXCLUDE"),"Exclude under pre-specified rule",IF(E72&gt;0.15,"Exclude: &gt;15% missing",IF(G72="FLAG","Retain; test in robustness battery","Retain"))))</f>
        <v/>
      </c>
    </row>
    <row r="73">
      <c r="A73" s="55" t="n">
        <v>70</v>
      </c>
      <c r="B73" s="55">
        <f>IF('04_DATA'!A70="","",'04_DATA'!A70)</f>
        <v/>
      </c>
      <c r="C73" s="55">
        <f>IF('04_DATA'!A70="","",IF(AND('04_DATA'!G70=1,'04_DATA'!H70=1,'04_DATA'!I70&gt;=3),"eligible","EXCLUDE"))</f>
        <v/>
      </c>
      <c r="D73" s="55">
        <f>IF('04_DATA'!A70="","",37-COUNT('04_DATA'!$K70:$AU70))</f>
        <v/>
      </c>
      <c r="E73" s="63">
        <f>IF('04_DATA'!A70="","",(37-COUNT('04_DATA'!$K70:$AU70))/37)</f>
        <v/>
      </c>
      <c r="F73" s="55">
        <f>IF('04_DATA'!A70="","",IF(AND(COUNT('04_DATA'!$K70:$AU70)=37,COUNTIF('04_DATA'!$K70:$AU70,INDEX('04_DATA'!$K70:$AU70,1))=37),"EXCLUDE","ok"))</f>
        <v/>
      </c>
      <c r="G73" s="55">
        <f>IF('04_DATA'!A70="","",IF('04_DATA'!D70&lt;PERCENTILE('04_DATA'!$D$2:$D$1001,0.05),"FLAG","ok"))</f>
        <v/>
      </c>
      <c r="H73" s="55">
        <f>IF('04_DATA'!A70="","",IF(OR(C73="EXCLUDE",F73="EXCLUDE"),"Exclude under pre-specified rule",IF(E73&gt;0.15,"Exclude: &gt;15% missing",IF(G73="FLAG","Retain; test in robustness battery","Retain"))))</f>
        <v/>
      </c>
    </row>
    <row r="74">
      <c r="A74" s="55" t="n">
        <v>71</v>
      </c>
      <c r="B74" s="55">
        <f>IF('04_DATA'!A71="","",'04_DATA'!A71)</f>
        <v/>
      </c>
      <c r="C74" s="55">
        <f>IF('04_DATA'!A71="","",IF(AND('04_DATA'!G71=1,'04_DATA'!H71=1,'04_DATA'!I71&gt;=3),"eligible","EXCLUDE"))</f>
        <v/>
      </c>
      <c r="D74" s="55">
        <f>IF('04_DATA'!A71="","",37-COUNT('04_DATA'!$K71:$AU71))</f>
        <v/>
      </c>
      <c r="E74" s="63">
        <f>IF('04_DATA'!A71="","",(37-COUNT('04_DATA'!$K71:$AU71))/37)</f>
        <v/>
      </c>
      <c r="F74" s="55">
        <f>IF('04_DATA'!A71="","",IF(AND(COUNT('04_DATA'!$K71:$AU71)=37,COUNTIF('04_DATA'!$K71:$AU71,INDEX('04_DATA'!$K71:$AU71,1))=37),"EXCLUDE","ok"))</f>
        <v/>
      </c>
      <c r="G74" s="55">
        <f>IF('04_DATA'!A71="","",IF('04_DATA'!D71&lt;PERCENTILE('04_DATA'!$D$2:$D$1001,0.05),"FLAG","ok"))</f>
        <v/>
      </c>
      <c r="H74" s="55">
        <f>IF('04_DATA'!A71="","",IF(OR(C74="EXCLUDE",F74="EXCLUDE"),"Exclude under pre-specified rule",IF(E74&gt;0.15,"Exclude: &gt;15% missing",IF(G74="FLAG","Retain; test in robustness battery","Retain"))))</f>
        <v/>
      </c>
    </row>
    <row r="75">
      <c r="A75" s="55" t="n">
        <v>72</v>
      </c>
      <c r="B75" s="55">
        <f>IF('04_DATA'!A72="","",'04_DATA'!A72)</f>
        <v/>
      </c>
      <c r="C75" s="55">
        <f>IF('04_DATA'!A72="","",IF(AND('04_DATA'!G72=1,'04_DATA'!H72=1,'04_DATA'!I72&gt;=3),"eligible","EXCLUDE"))</f>
        <v/>
      </c>
      <c r="D75" s="55">
        <f>IF('04_DATA'!A72="","",37-COUNT('04_DATA'!$K72:$AU72))</f>
        <v/>
      </c>
      <c r="E75" s="63">
        <f>IF('04_DATA'!A72="","",(37-COUNT('04_DATA'!$K72:$AU72))/37)</f>
        <v/>
      </c>
      <c r="F75" s="55">
        <f>IF('04_DATA'!A72="","",IF(AND(COUNT('04_DATA'!$K72:$AU72)=37,COUNTIF('04_DATA'!$K72:$AU72,INDEX('04_DATA'!$K72:$AU72,1))=37),"EXCLUDE","ok"))</f>
        <v/>
      </c>
      <c r="G75" s="55">
        <f>IF('04_DATA'!A72="","",IF('04_DATA'!D72&lt;PERCENTILE('04_DATA'!$D$2:$D$1001,0.05),"FLAG","ok"))</f>
        <v/>
      </c>
      <c r="H75" s="55">
        <f>IF('04_DATA'!A72="","",IF(OR(C75="EXCLUDE",F75="EXCLUDE"),"Exclude under pre-specified rule",IF(E75&gt;0.15,"Exclude: &gt;15% missing",IF(G75="FLAG","Retain; test in robustness battery","Retain"))))</f>
        <v/>
      </c>
    </row>
    <row r="76">
      <c r="A76" s="55" t="n">
        <v>73</v>
      </c>
      <c r="B76" s="55">
        <f>IF('04_DATA'!A73="","",'04_DATA'!A73)</f>
        <v/>
      </c>
      <c r="C76" s="55">
        <f>IF('04_DATA'!A73="","",IF(AND('04_DATA'!G73=1,'04_DATA'!H73=1,'04_DATA'!I73&gt;=3),"eligible","EXCLUDE"))</f>
        <v/>
      </c>
      <c r="D76" s="55">
        <f>IF('04_DATA'!A73="","",37-COUNT('04_DATA'!$K73:$AU73))</f>
        <v/>
      </c>
      <c r="E76" s="63">
        <f>IF('04_DATA'!A73="","",(37-COUNT('04_DATA'!$K73:$AU73))/37)</f>
        <v/>
      </c>
      <c r="F76" s="55">
        <f>IF('04_DATA'!A73="","",IF(AND(COUNT('04_DATA'!$K73:$AU73)=37,COUNTIF('04_DATA'!$K73:$AU73,INDEX('04_DATA'!$K73:$AU73,1))=37),"EXCLUDE","ok"))</f>
        <v/>
      </c>
      <c r="G76" s="55">
        <f>IF('04_DATA'!A73="","",IF('04_DATA'!D73&lt;PERCENTILE('04_DATA'!$D$2:$D$1001,0.05),"FLAG","ok"))</f>
        <v/>
      </c>
      <c r="H76" s="55">
        <f>IF('04_DATA'!A73="","",IF(OR(C76="EXCLUDE",F76="EXCLUDE"),"Exclude under pre-specified rule",IF(E76&gt;0.15,"Exclude: &gt;15% missing",IF(G76="FLAG","Retain; test in robustness battery","Retain"))))</f>
        <v/>
      </c>
    </row>
    <row r="77">
      <c r="A77" s="55" t="n">
        <v>74</v>
      </c>
      <c r="B77" s="55">
        <f>IF('04_DATA'!A74="","",'04_DATA'!A74)</f>
        <v/>
      </c>
      <c r="C77" s="55">
        <f>IF('04_DATA'!A74="","",IF(AND('04_DATA'!G74=1,'04_DATA'!H74=1,'04_DATA'!I74&gt;=3),"eligible","EXCLUDE"))</f>
        <v/>
      </c>
      <c r="D77" s="55">
        <f>IF('04_DATA'!A74="","",37-COUNT('04_DATA'!$K74:$AU74))</f>
        <v/>
      </c>
      <c r="E77" s="63">
        <f>IF('04_DATA'!A74="","",(37-COUNT('04_DATA'!$K74:$AU74))/37)</f>
        <v/>
      </c>
      <c r="F77" s="55">
        <f>IF('04_DATA'!A74="","",IF(AND(COUNT('04_DATA'!$K74:$AU74)=37,COUNTIF('04_DATA'!$K74:$AU74,INDEX('04_DATA'!$K74:$AU74,1))=37),"EXCLUDE","ok"))</f>
        <v/>
      </c>
      <c r="G77" s="55">
        <f>IF('04_DATA'!A74="","",IF('04_DATA'!D74&lt;PERCENTILE('04_DATA'!$D$2:$D$1001,0.05),"FLAG","ok"))</f>
        <v/>
      </c>
      <c r="H77" s="55">
        <f>IF('04_DATA'!A74="","",IF(OR(C77="EXCLUDE",F77="EXCLUDE"),"Exclude under pre-specified rule",IF(E77&gt;0.15,"Exclude: &gt;15% missing",IF(G77="FLAG","Retain; test in robustness battery","Retain"))))</f>
        <v/>
      </c>
    </row>
    <row r="78">
      <c r="A78" s="55" t="n">
        <v>75</v>
      </c>
      <c r="B78" s="55">
        <f>IF('04_DATA'!A75="","",'04_DATA'!A75)</f>
        <v/>
      </c>
      <c r="C78" s="55">
        <f>IF('04_DATA'!A75="","",IF(AND('04_DATA'!G75=1,'04_DATA'!H75=1,'04_DATA'!I75&gt;=3),"eligible","EXCLUDE"))</f>
        <v/>
      </c>
      <c r="D78" s="55">
        <f>IF('04_DATA'!A75="","",37-COUNT('04_DATA'!$K75:$AU75))</f>
        <v/>
      </c>
      <c r="E78" s="63">
        <f>IF('04_DATA'!A75="","",(37-COUNT('04_DATA'!$K75:$AU75))/37)</f>
        <v/>
      </c>
      <c r="F78" s="55">
        <f>IF('04_DATA'!A75="","",IF(AND(COUNT('04_DATA'!$K75:$AU75)=37,COUNTIF('04_DATA'!$K75:$AU75,INDEX('04_DATA'!$K75:$AU75,1))=37),"EXCLUDE","ok"))</f>
        <v/>
      </c>
      <c r="G78" s="55">
        <f>IF('04_DATA'!A75="","",IF('04_DATA'!D75&lt;PERCENTILE('04_DATA'!$D$2:$D$1001,0.05),"FLAG","ok"))</f>
        <v/>
      </c>
      <c r="H78" s="55">
        <f>IF('04_DATA'!A75="","",IF(OR(C78="EXCLUDE",F78="EXCLUDE"),"Exclude under pre-specified rule",IF(E78&gt;0.15,"Exclude: &gt;15% missing",IF(G78="FLAG","Retain; test in robustness battery","Retain"))))</f>
        <v/>
      </c>
    </row>
    <row r="79">
      <c r="A79" s="55" t="n">
        <v>76</v>
      </c>
      <c r="B79" s="55">
        <f>IF('04_DATA'!A76="","",'04_DATA'!A76)</f>
        <v/>
      </c>
      <c r="C79" s="55">
        <f>IF('04_DATA'!A76="","",IF(AND('04_DATA'!G76=1,'04_DATA'!H76=1,'04_DATA'!I76&gt;=3),"eligible","EXCLUDE"))</f>
        <v/>
      </c>
      <c r="D79" s="55">
        <f>IF('04_DATA'!A76="","",37-COUNT('04_DATA'!$K76:$AU76))</f>
        <v/>
      </c>
      <c r="E79" s="63">
        <f>IF('04_DATA'!A76="","",(37-COUNT('04_DATA'!$K76:$AU76))/37)</f>
        <v/>
      </c>
      <c r="F79" s="55">
        <f>IF('04_DATA'!A76="","",IF(AND(COUNT('04_DATA'!$K76:$AU76)=37,COUNTIF('04_DATA'!$K76:$AU76,INDEX('04_DATA'!$K76:$AU76,1))=37),"EXCLUDE","ok"))</f>
        <v/>
      </c>
      <c r="G79" s="55">
        <f>IF('04_DATA'!A76="","",IF('04_DATA'!D76&lt;PERCENTILE('04_DATA'!$D$2:$D$1001,0.05),"FLAG","ok"))</f>
        <v/>
      </c>
      <c r="H79" s="55">
        <f>IF('04_DATA'!A76="","",IF(OR(C79="EXCLUDE",F79="EXCLUDE"),"Exclude under pre-specified rule",IF(E79&gt;0.15,"Exclude: &gt;15% missing",IF(G79="FLAG","Retain; test in robustness battery","Retain"))))</f>
        <v/>
      </c>
    </row>
    <row r="80">
      <c r="A80" s="55" t="n">
        <v>77</v>
      </c>
      <c r="B80" s="55">
        <f>IF('04_DATA'!A77="","",'04_DATA'!A77)</f>
        <v/>
      </c>
      <c r="C80" s="55">
        <f>IF('04_DATA'!A77="","",IF(AND('04_DATA'!G77=1,'04_DATA'!H77=1,'04_DATA'!I77&gt;=3),"eligible","EXCLUDE"))</f>
        <v/>
      </c>
      <c r="D80" s="55">
        <f>IF('04_DATA'!A77="","",37-COUNT('04_DATA'!$K77:$AU77))</f>
        <v/>
      </c>
      <c r="E80" s="63">
        <f>IF('04_DATA'!A77="","",(37-COUNT('04_DATA'!$K77:$AU77))/37)</f>
        <v/>
      </c>
      <c r="F80" s="55">
        <f>IF('04_DATA'!A77="","",IF(AND(COUNT('04_DATA'!$K77:$AU77)=37,COUNTIF('04_DATA'!$K77:$AU77,INDEX('04_DATA'!$K77:$AU77,1))=37),"EXCLUDE","ok"))</f>
        <v/>
      </c>
      <c r="G80" s="55">
        <f>IF('04_DATA'!A77="","",IF('04_DATA'!D77&lt;PERCENTILE('04_DATA'!$D$2:$D$1001,0.05),"FLAG","ok"))</f>
        <v/>
      </c>
      <c r="H80" s="55">
        <f>IF('04_DATA'!A77="","",IF(OR(C80="EXCLUDE",F80="EXCLUDE"),"Exclude under pre-specified rule",IF(E80&gt;0.15,"Exclude: &gt;15% missing",IF(G80="FLAG","Retain; test in robustness battery","Retain"))))</f>
        <v/>
      </c>
    </row>
    <row r="81">
      <c r="A81" s="55" t="n">
        <v>78</v>
      </c>
      <c r="B81" s="55">
        <f>IF('04_DATA'!A78="","",'04_DATA'!A78)</f>
        <v/>
      </c>
      <c r="C81" s="55">
        <f>IF('04_DATA'!A78="","",IF(AND('04_DATA'!G78=1,'04_DATA'!H78=1,'04_DATA'!I78&gt;=3),"eligible","EXCLUDE"))</f>
        <v/>
      </c>
      <c r="D81" s="55">
        <f>IF('04_DATA'!A78="","",37-COUNT('04_DATA'!$K78:$AU78))</f>
        <v/>
      </c>
      <c r="E81" s="63">
        <f>IF('04_DATA'!A78="","",(37-COUNT('04_DATA'!$K78:$AU78))/37)</f>
        <v/>
      </c>
      <c r="F81" s="55">
        <f>IF('04_DATA'!A78="","",IF(AND(COUNT('04_DATA'!$K78:$AU78)=37,COUNTIF('04_DATA'!$K78:$AU78,INDEX('04_DATA'!$K78:$AU78,1))=37),"EXCLUDE","ok"))</f>
        <v/>
      </c>
      <c r="G81" s="55">
        <f>IF('04_DATA'!A78="","",IF('04_DATA'!D78&lt;PERCENTILE('04_DATA'!$D$2:$D$1001,0.05),"FLAG","ok"))</f>
        <v/>
      </c>
      <c r="H81" s="55">
        <f>IF('04_DATA'!A78="","",IF(OR(C81="EXCLUDE",F81="EXCLUDE"),"Exclude under pre-specified rule",IF(E81&gt;0.15,"Exclude: &gt;15% missing",IF(G81="FLAG","Retain; test in robustness battery","Retain"))))</f>
        <v/>
      </c>
    </row>
    <row r="82">
      <c r="A82" s="55" t="n">
        <v>79</v>
      </c>
      <c r="B82" s="55">
        <f>IF('04_DATA'!A79="","",'04_DATA'!A79)</f>
        <v/>
      </c>
      <c r="C82" s="55">
        <f>IF('04_DATA'!A79="","",IF(AND('04_DATA'!G79=1,'04_DATA'!H79=1,'04_DATA'!I79&gt;=3),"eligible","EXCLUDE"))</f>
        <v/>
      </c>
      <c r="D82" s="55">
        <f>IF('04_DATA'!A79="","",37-COUNT('04_DATA'!$K79:$AU79))</f>
        <v/>
      </c>
      <c r="E82" s="63">
        <f>IF('04_DATA'!A79="","",(37-COUNT('04_DATA'!$K79:$AU79))/37)</f>
        <v/>
      </c>
      <c r="F82" s="55">
        <f>IF('04_DATA'!A79="","",IF(AND(COUNT('04_DATA'!$K79:$AU79)=37,COUNTIF('04_DATA'!$K79:$AU79,INDEX('04_DATA'!$K79:$AU79,1))=37),"EXCLUDE","ok"))</f>
        <v/>
      </c>
      <c r="G82" s="55">
        <f>IF('04_DATA'!A79="","",IF('04_DATA'!D79&lt;PERCENTILE('04_DATA'!$D$2:$D$1001,0.05),"FLAG","ok"))</f>
        <v/>
      </c>
      <c r="H82" s="55">
        <f>IF('04_DATA'!A79="","",IF(OR(C82="EXCLUDE",F82="EXCLUDE"),"Exclude under pre-specified rule",IF(E82&gt;0.15,"Exclude: &gt;15% missing",IF(G82="FLAG","Retain; test in robustness battery","Retain"))))</f>
        <v/>
      </c>
    </row>
    <row r="83">
      <c r="A83" s="55" t="n">
        <v>80</v>
      </c>
      <c r="B83" s="55">
        <f>IF('04_DATA'!A80="","",'04_DATA'!A80)</f>
        <v/>
      </c>
      <c r="C83" s="55">
        <f>IF('04_DATA'!A80="","",IF(AND('04_DATA'!G80=1,'04_DATA'!H80=1,'04_DATA'!I80&gt;=3),"eligible","EXCLUDE"))</f>
        <v/>
      </c>
      <c r="D83" s="55">
        <f>IF('04_DATA'!A80="","",37-COUNT('04_DATA'!$K80:$AU80))</f>
        <v/>
      </c>
      <c r="E83" s="63">
        <f>IF('04_DATA'!A80="","",(37-COUNT('04_DATA'!$K80:$AU80))/37)</f>
        <v/>
      </c>
      <c r="F83" s="55">
        <f>IF('04_DATA'!A80="","",IF(AND(COUNT('04_DATA'!$K80:$AU80)=37,COUNTIF('04_DATA'!$K80:$AU80,INDEX('04_DATA'!$K80:$AU80,1))=37),"EXCLUDE","ok"))</f>
        <v/>
      </c>
      <c r="G83" s="55">
        <f>IF('04_DATA'!A80="","",IF('04_DATA'!D80&lt;PERCENTILE('04_DATA'!$D$2:$D$1001,0.05),"FLAG","ok"))</f>
        <v/>
      </c>
      <c r="H83" s="55">
        <f>IF('04_DATA'!A80="","",IF(OR(C83="EXCLUDE",F83="EXCLUDE"),"Exclude under pre-specified rule",IF(E83&gt;0.15,"Exclude: &gt;15% missing",IF(G83="FLAG","Retain; test in robustness battery","Retain"))))</f>
        <v/>
      </c>
    </row>
    <row r="84">
      <c r="A84" s="55" t="n">
        <v>81</v>
      </c>
      <c r="B84" s="55">
        <f>IF('04_DATA'!A81="","",'04_DATA'!A81)</f>
        <v/>
      </c>
      <c r="C84" s="55">
        <f>IF('04_DATA'!A81="","",IF(AND('04_DATA'!G81=1,'04_DATA'!H81=1,'04_DATA'!I81&gt;=3),"eligible","EXCLUDE"))</f>
        <v/>
      </c>
      <c r="D84" s="55">
        <f>IF('04_DATA'!A81="","",37-COUNT('04_DATA'!$K81:$AU81))</f>
        <v/>
      </c>
      <c r="E84" s="63">
        <f>IF('04_DATA'!A81="","",(37-COUNT('04_DATA'!$K81:$AU81))/37)</f>
        <v/>
      </c>
      <c r="F84" s="55">
        <f>IF('04_DATA'!A81="","",IF(AND(COUNT('04_DATA'!$K81:$AU81)=37,COUNTIF('04_DATA'!$K81:$AU81,INDEX('04_DATA'!$K81:$AU81,1))=37),"EXCLUDE","ok"))</f>
        <v/>
      </c>
      <c r="G84" s="55">
        <f>IF('04_DATA'!A81="","",IF('04_DATA'!D81&lt;PERCENTILE('04_DATA'!$D$2:$D$1001,0.05),"FLAG","ok"))</f>
        <v/>
      </c>
      <c r="H84" s="55">
        <f>IF('04_DATA'!A81="","",IF(OR(C84="EXCLUDE",F84="EXCLUDE"),"Exclude under pre-specified rule",IF(E84&gt;0.15,"Exclude: &gt;15% missing",IF(G84="FLAG","Retain; test in robustness battery","Retain"))))</f>
        <v/>
      </c>
    </row>
    <row r="85">
      <c r="A85" s="55" t="n">
        <v>82</v>
      </c>
      <c r="B85" s="55">
        <f>IF('04_DATA'!A82="","",'04_DATA'!A82)</f>
        <v/>
      </c>
      <c r="C85" s="55">
        <f>IF('04_DATA'!A82="","",IF(AND('04_DATA'!G82=1,'04_DATA'!H82=1,'04_DATA'!I82&gt;=3),"eligible","EXCLUDE"))</f>
        <v/>
      </c>
      <c r="D85" s="55">
        <f>IF('04_DATA'!A82="","",37-COUNT('04_DATA'!$K82:$AU82))</f>
        <v/>
      </c>
      <c r="E85" s="63">
        <f>IF('04_DATA'!A82="","",(37-COUNT('04_DATA'!$K82:$AU82))/37)</f>
        <v/>
      </c>
      <c r="F85" s="55">
        <f>IF('04_DATA'!A82="","",IF(AND(COUNT('04_DATA'!$K82:$AU82)=37,COUNTIF('04_DATA'!$K82:$AU82,INDEX('04_DATA'!$K82:$AU82,1))=37),"EXCLUDE","ok"))</f>
        <v/>
      </c>
      <c r="G85" s="55">
        <f>IF('04_DATA'!A82="","",IF('04_DATA'!D82&lt;PERCENTILE('04_DATA'!$D$2:$D$1001,0.05),"FLAG","ok"))</f>
        <v/>
      </c>
      <c r="H85" s="55">
        <f>IF('04_DATA'!A82="","",IF(OR(C85="EXCLUDE",F85="EXCLUDE"),"Exclude under pre-specified rule",IF(E85&gt;0.15,"Exclude: &gt;15% missing",IF(G85="FLAG","Retain; test in robustness battery","Retain"))))</f>
        <v/>
      </c>
    </row>
    <row r="86">
      <c r="A86" s="55" t="n">
        <v>83</v>
      </c>
      <c r="B86" s="55">
        <f>IF('04_DATA'!A83="","",'04_DATA'!A83)</f>
        <v/>
      </c>
      <c r="C86" s="55">
        <f>IF('04_DATA'!A83="","",IF(AND('04_DATA'!G83=1,'04_DATA'!H83=1,'04_DATA'!I83&gt;=3),"eligible","EXCLUDE"))</f>
        <v/>
      </c>
      <c r="D86" s="55">
        <f>IF('04_DATA'!A83="","",37-COUNT('04_DATA'!$K83:$AU83))</f>
        <v/>
      </c>
      <c r="E86" s="63">
        <f>IF('04_DATA'!A83="","",(37-COUNT('04_DATA'!$K83:$AU83))/37)</f>
        <v/>
      </c>
      <c r="F86" s="55">
        <f>IF('04_DATA'!A83="","",IF(AND(COUNT('04_DATA'!$K83:$AU83)=37,COUNTIF('04_DATA'!$K83:$AU83,INDEX('04_DATA'!$K83:$AU83,1))=37),"EXCLUDE","ok"))</f>
        <v/>
      </c>
      <c r="G86" s="55">
        <f>IF('04_DATA'!A83="","",IF('04_DATA'!D83&lt;PERCENTILE('04_DATA'!$D$2:$D$1001,0.05),"FLAG","ok"))</f>
        <v/>
      </c>
      <c r="H86" s="55">
        <f>IF('04_DATA'!A83="","",IF(OR(C86="EXCLUDE",F86="EXCLUDE"),"Exclude under pre-specified rule",IF(E86&gt;0.15,"Exclude: &gt;15% missing",IF(G86="FLAG","Retain; test in robustness battery","Retain"))))</f>
        <v/>
      </c>
    </row>
    <row r="87">
      <c r="A87" s="55" t="n">
        <v>84</v>
      </c>
      <c r="B87" s="55">
        <f>IF('04_DATA'!A84="","",'04_DATA'!A84)</f>
        <v/>
      </c>
      <c r="C87" s="55">
        <f>IF('04_DATA'!A84="","",IF(AND('04_DATA'!G84=1,'04_DATA'!H84=1,'04_DATA'!I84&gt;=3),"eligible","EXCLUDE"))</f>
        <v/>
      </c>
      <c r="D87" s="55">
        <f>IF('04_DATA'!A84="","",37-COUNT('04_DATA'!$K84:$AU84))</f>
        <v/>
      </c>
      <c r="E87" s="63">
        <f>IF('04_DATA'!A84="","",(37-COUNT('04_DATA'!$K84:$AU84))/37)</f>
        <v/>
      </c>
      <c r="F87" s="55">
        <f>IF('04_DATA'!A84="","",IF(AND(COUNT('04_DATA'!$K84:$AU84)=37,COUNTIF('04_DATA'!$K84:$AU84,INDEX('04_DATA'!$K84:$AU84,1))=37),"EXCLUDE","ok"))</f>
        <v/>
      </c>
      <c r="G87" s="55">
        <f>IF('04_DATA'!A84="","",IF('04_DATA'!D84&lt;PERCENTILE('04_DATA'!$D$2:$D$1001,0.05),"FLAG","ok"))</f>
        <v/>
      </c>
      <c r="H87" s="55">
        <f>IF('04_DATA'!A84="","",IF(OR(C87="EXCLUDE",F87="EXCLUDE"),"Exclude under pre-specified rule",IF(E87&gt;0.15,"Exclude: &gt;15% missing",IF(G87="FLAG","Retain; test in robustness battery","Retain"))))</f>
        <v/>
      </c>
    </row>
    <row r="88">
      <c r="A88" s="55" t="n">
        <v>85</v>
      </c>
      <c r="B88" s="55">
        <f>IF('04_DATA'!A85="","",'04_DATA'!A85)</f>
        <v/>
      </c>
      <c r="C88" s="55">
        <f>IF('04_DATA'!A85="","",IF(AND('04_DATA'!G85=1,'04_DATA'!H85=1,'04_DATA'!I85&gt;=3),"eligible","EXCLUDE"))</f>
        <v/>
      </c>
      <c r="D88" s="55">
        <f>IF('04_DATA'!A85="","",37-COUNT('04_DATA'!$K85:$AU85))</f>
        <v/>
      </c>
      <c r="E88" s="63">
        <f>IF('04_DATA'!A85="","",(37-COUNT('04_DATA'!$K85:$AU85))/37)</f>
        <v/>
      </c>
      <c r="F88" s="55">
        <f>IF('04_DATA'!A85="","",IF(AND(COUNT('04_DATA'!$K85:$AU85)=37,COUNTIF('04_DATA'!$K85:$AU85,INDEX('04_DATA'!$K85:$AU85,1))=37),"EXCLUDE","ok"))</f>
        <v/>
      </c>
      <c r="G88" s="55">
        <f>IF('04_DATA'!A85="","",IF('04_DATA'!D85&lt;PERCENTILE('04_DATA'!$D$2:$D$1001,0.05),"FLAG","ok"))</f>
        <v/>
      </c>
      <c r="H88" s="55">
        <f>IF('04_DATA'!A85="","",IF(OR(C88="EXCLUDE",F88="EXCLUDE"),"Exclude under pre-specified rule",IF(E88&gt;0.15,"Exclude: &gt;15% missing",IF(G88="FLAG","Retain; test in robustness battery","Retain"))))</f>
        <v/>
      </c>
    </row>
    <row r="89">
      <c r="A89" s="55" t="n">
        <v>86</v>
      </c>
      <c r="B89" s="55">
        <f>IF('04_DATA'!A86="","",'04_DATA'!A86)</f>
        <v/>
      </c>
      <c r="C89" s="55">
        <f>IF('04_DATA'!A86="","",IF(AND('04_DATA'!G86=1,'04_DATA'!H86=1,'04_DATA'!I86&gt;=3),"eligible","EXCLUDE"))</f>
        <v/>
      </c>
      <c r="D89" s="55">
        <f>IF('04_DATA'!A86="","",37-COUNT('04_DATA'!$K86:$AU86))</f>
        <v/>
      </c>
      <c r="E89" s="63">
        <f>IF('04_DATA'!A86="","",(37-COUNT('04_DATA'!$K86:$AU86))/37)</f>
        <v/>
      </c>
      <c r="F89" s="55">
        <f>IF('04_DATA'!A86="","",IF(AND(COUNT('04_DATA'!$K86:$AU86)=37,COUNTIF('04_DATA'!$K86:$AU86,INDEX('04_DATA'!$K86:$AU86,1))=37),"EXCLUDE","ok"))</f>
        <v/>
      </c>
      <c r="G89" s="55">
        <f>IF('04_DATA'!A86="","",IF('04_DATA'!D86&lt;PERCENTILE('04_DATA'!$D$2:$D$1001,0.05),"FLAG","ok"))</f>
        <v/>
      </c>
      <c r="H89" s="55">
        <f>IF('04_DATA'!A86="","",IF(OR(C89="EXCLUDE",F89="EXCLUDE"),"Exclude under pre-specified rule",IF(E89&gt;0.15,"Exclude: &gt;15% missing",IF(G89="FLAG","Retain; test in robustness battery","Retain"))))</f>
        <v/>
      </c>
    </row>
    <row r="90">
      <c r="A90" s="55" t="n">
        <v>87</v>
      </c>
      <c r="B90" s="55">
        <f>IF('04_DATA'!A87="","",'04_DATA'!A87)</f>
        <v/>
      </c>
      <c r="C90" s="55">
        <f>IF('04_DATA'!A87="","",IF(AND('04_DATA'!G87=1,'04_DATA'!H87=1,'04_DATA'!I87&gt;=3),"eligible","EXCLUDE"))</f>
        <v/>
      </c>
      <c r="D90" s="55">
        <f>IF('04_DATA'!A87="","",37-COUNT('04_DATA'!$K87:$AU87))</f>
        <v/>
      </c>
      <c r="E90" s="63">
        <f>IF('04_DATA'!A87="","",(37-COUNT('04_DATA'!$K87:$AU87))/37)</f>
        <v/>
      </c>
      <c r="F90" s="55">
        <f>IF('04_DATA'!A87="","",IF(AND(COUNT('04_DATA'!$K87:$AU87)=37,COUNTIF('04_DATA'!$K87:$AU87,INDEX('04_DATA'!$K87:$AU87,1))=37),"EXCLUDE","ok"))</f>
        <v/>
      </c>
      <c r="G90" s="55">
        <f>IF('04_DATA'!A87="","",IF('04_DATA'!D87&lt;PERCENTILE('04_DATA'!$D$2:$D$1001,0.05),"FLAG","ok"))</f>
        <v/>
      </c>
      <c r="H90" s="55">
        <f>IF('04_DATA'!A87="","",IF(OR(C90="EXCLUDE",F90="EXCLUDE"),"Exclude under pre-specified rule",IF(E90&gt;0.15,"Exclude: &gt;15% missing",IF(G90="FLAG","Retain; test in robustness battery","Retain"))))</f>
        <v/>
      </c>
    </row>
    <row r="91">
      <c r="A91" s="55" t="n">
        <v>88</v>
      </c>
      <c r="B91" s="55">
        <f>IF('04_DATA'!A88="","",'04_DATA'!A88)</f>
        <v/>
      </c>
      <c r="C91" s="55">
        <f>IF('04_DATA'!A88="","",IF(AND('04_DATA'!G88=1,'04_DATA'!H88=1,'04_DATA'!I88&gt;=3),"eligible","EXCLUDE"))</f>
        <v/>
      </c>
      <c r="D91" s="55">
        <f>IF('04_DATA'!A88="","",37-COUNT('04_DATA'!$K88:$AU88))</f>
        <v/>
      </c>
      <c r="E91" s="63">
        <f>IF('04_DATA'!A88="","",(37-COUNT('04_DATA'!$K88:$AU88))/37)</f>
        <v/>
      </c>
      <c r="F91" s="55">
        <f>IF('04_DATA'!A88="","",IF(AND(COUNT('04_DATA'!$K88:$AU88)=37,COUNTIF('04_DATA'!$K88:$AU88,INDEX('04_DATA'!$K88:$AU88,1))=37),"EXCLUDE","ok"))</f>
        <v/>
      </c>
      <c r="G91" s="55">
        <f>IF('04_DATA'!A88="","",IF('04_DATA'!D88&lt;PERCENTILE('04_DATA'!$D$2:$D$1001,0.05),"FLAG","ok"))</f>
        <v/>
      </c>
      <c r="H91" s="55">
        <f>IF('04_DATA'!A88="","",IF(OR(C91="EXCLUDE",F91="EXCLUDE"),"Exclude under pre-specified rule",IF(E91&gt;0.15,"Exclude: &gt;15% missing",IF(G91="FLAG","Retain; test in robustness battery","Retain"))))</f>
        <v/>
      </c>
    </row>
    <row r="92">
      <c r="A92" s="55" t="n">
        <v>89</v>
      </c>
      <c r="B92" s="55">
        <f>IF('04_DATA'!A89="","",'04_DATA'!A89)</f>
        <v/>
      </c>
      <c r="C92" s="55">
        <f>IF('04_DATA'!A89="","",IF(AND('04_DATA'!G89=1,'04_DATA'!H89=1,'04_DATA'!I89&gt;=3),"eligible","EXCLUDE"))</f>
        <v/>
      </c>
      <c r="D92" s="55">
        <f>IF('04_DATA'!A89="","",37-COUNT('04_DATA'!$K89:$AU89))</f>
        <v/>
      </c>
      <c r="E92" s="63">
        <f>IF('04_DATA'!A89="","",(37-COUNT('04_DATA'!$K89:$AU89))/37)</f>
        <v/>
      </c>
      <c r="F92" s="55">
        <f>IF('04_DATA'!A89="","",IF(AND(COUNT('04_DATA'!$K89:$AU89)=37,COUNTIF('04_DATA'!$K89:$AU89,INDEX('04_DATA'!$K89:$AU89,1))=37),"EXCLUDE","ok"))</f>
        <v/>
      </c>
      <c r="G92" s="55">
        <f>IF('04_DATA'!A89="","",IF('04_DATA'!D89&lt;PERCENTILE('04_DATA'!$D$2:$D$1001,0.05),"FLAG","ok"))</f>
        <v/>
      </c>
      <c r="H92" s="55">
        <f>IF('04_DATA'!A89="","",IF(OR(C92="EXCLUDE",F92="EXCLUDE"),"Exclude under pre-specified rule",IF(E92&gt;0.15,"Exclude: &gt;15% missing",IF(G92="FLAG","Retain; test in robustness battery","Retain"))))</f>
        <v/>
      </c>
    </row>
    <row r="93">
      <c r="A93" s="55" t="n">
        <v>90</v>
      </c>
      <c r="B93" s="55">
        <f>IF('04_DATA'!A90="","",'04_DATA'!A90)</f>
        <v/>
      </c>
      <c r="C93" s="55">
        <f>IF('04_DATA'!A90="","",IF(AND('04_DATA'!G90=1,'04_DATA'!H90=1,'04_DATA'!I90&gt;=3),"eligible","EXCLUDE"))</f>
        <v/>
      </c>
      <c r="D93" s="55">
        <f>IF('04_DATA'!A90="","",37-COUNT('04_DATA'!$K90:$AU90))</f>
        <v/>
      </c>
      <c r="E93" s="63">
        <f>IF('04_DATA'!A90="","",(37-COUNT('04_DATA'!$K90:$AU90))/37)</f>
        <v/>
      </c>
      <c r="F93" s="55">
        <f>IF('04_DATA'!A90="","",IF(AND(COUNT('04_DATA'!$K90:$AU90)=37,COUNTIF('04_DATA'!$K90:$AU90,INDEX('04_DATA'!$K90:$AU90,1))=37),"EXCLUDE","ok"))</f>
        <v/>
      </c>
      <c r="G93" s="55">
        <f>IF('04_DATA'!A90="","",IF('04_DATA'!D90&lt;PERCENTILE('04_DATA'!$D$2:$D$1001,0.05),"FLAG","ok"))</f>
        <v/>
      </c>
      <c r="H93" s="55">
        <f>IF('04_DATA'!A90="","",IF(OR(C93="EXCLUDE",F93="EXCLUDE"),"Exclude under pre-specified rule",IF(E93&gt;0.15,"Exclude: &gt;15% missing",IF(G93="FLAG","Retain; test in robustness battery","Retain"))))</f>
        <v/>
      </c>
    </row>
    <row r="94">
      <c r="A94" s="55" t="n">
        <v>91</v>
      </c>
      <c r="B94" s="55">
        <f>IF('04_DATA'!A91="","",'04_DATA'!A91)</f>
        <v/>
      </c>
      <c r="C94" s="55">
        <f>IF('04_DATA'!A91="","",IF(AND('04_DATA'!G91=1,'04_DATA'!H91=1,'04_DATA'!I91&gt;=3),"eligible","EXCLUDE"))</f>
        <v/>
      </c>
      <c r="D94" s="55">
        <f>IF('04_DATA'!A91="","",37-COUNT('04_DATA'!$K91:$AU91))</f>
        <v/>
      </c>
      <c r="E94" s="63">
        <f>IF('04_DATA'!A91="","",(37-COUNT('04_DATA'!$K91:$AU91))/37)</f>
        <v/>
      </c>
      <c r="F94" s="55">
        <f>IF('04_DATA'!A91="","",IF(AND(COUNT('04_DATA'!$K91:$AU91)=37,COUNTIF('04_DATA'!$K91:$AU91,INDEX('04_DATA'!$K91:$AU91,1))=37),"EXCLUDE","ok"))</f>
        <v/>
      </c>
      <c r="G94" s="55">
        <f>IF('04_DATA'!A91="","",IF('04_DATA'!D91&lt;PERCENTILE('04_DATA'!$D$2:$D$1001,0.05),"FLAG","ok"))</f>
        <v/>
      </c>
      <c r="H94" s="55">
        <f>IF('04_DATA'!A91="","",IF(OR(C94="EXCLUDE",F94="EXCLUDE"),"Exclude under pre-specified rule",IF(E94&gt;0.15,"Exclude: &gt;15% missing",IF(G94="FLAG","Retain; test in robustness battery","Retain"))))</f>
        <v/>
      </c>
    </row>
    <row r="95">
      <c r="A95" s="55" t="n">
        <v>92</v>
      </c>
      <c r="B95" s="55">
        <f>IF('04_DATA'!A92="","",'04_DATA'!A92)</f>
        <v/>
      </c>
      <c r="C95" s="55">
        <f>IF('04_DATA'!A92="","",IF(AND('04_DATA'!G92=1,'04_DATA'!H92=1,'04_DATA'!I92&gt;=3),"eligible","EXCLUDE"))</f>
        <v/>
      </c>
      <c r="D95" s="55">
        <f>IF('04_DATA'!A92="","",37-COUNT('04_DATA'!$K92:$AU92))</f>
        <v/>
      </c>
      <c r="E95" s="63">
        <f>IF('04_DATA'!A92="","",(37-COUNT('04_DATA'!$K92:$AU92))/37)</f>
        <v/>
      </c>
      <c r="F95" s="55">
        <f>IF('04_DATA'!A92="","",IF(AND(COUNT('04_DATA'!$K92:$AU92)=37,COUNTIF('04_DATA'!$K92:$AU92,INDEX('04_DATA'!$K92:$AU92,1))=37),"EXCLUDE","ok"))</f>
        <v/>
      </c>
      <c r="G95" s="55">
        <f>IF('04_DATA'!A92="","",IF('04_DATA'!D92&lt;PERCENTILE('04_DATA'!$D$2:$D$1001,0.05),"FLAG","ok"))</f>
        <v/>
      </c>
      <c r="H95" s="55">
        <f>IF('04_DATA'!A92="","",IF(OR(C95="EXCLUDE",F95="EXCLUDE"),"Exclude under pre-specified rule",IF(E95&gt;0.15,"Exclude: &gt;15% missing",IF(G95="FLAG","Retain; test in robustness battery","Retain"))))</f>
        <v/>
      </c>
    </row>
    <row r="96">
      <c r="A96" s="55" t="n">
        <v>93</v>
      </c>
      <c r="B96" s="55">
        <f>IF('04_DATA'!A93="","",'04_DATA'!A93)</f>
        <v/>
      </c>
      <c r="C96" s="55">
        <f>IF('04_DATA'!A93="","",IF(AND('04_DATA'!G93=1,'04_DATA'!H93=1,'04_DATA'!I93&gt;=3),"eligible","EXCLUDE"))</f>
        <v/>
      </c>
      <c r="D96" s="55">
        <f>IF('04_DATA'!A93="","",37-COUNT('04_DATA'!$K93:$AU93))</f>
        <v/>
      </c>
      <c r="E96" s="63">
        <f>IF('04_DATA'!A93="","",(37-COUNT('04_DATA'!$K93:$AU93))/37)</f>
        <v/>
      </c>
      <c r="F96" s="55">
        <f>IF('04_DATA'!A93="","",IF(AND(COUNT('04_DATA'!$K93:$AU93)=37,COUNTIF('04_DATA'!$K93:$AU93,INDEX('04_DATA'!$K93:$AU93,1))=37),"EXCLUDE","ok"))</f>
        <v/>
      </c>
      <c r="G96" s="55">
        <f>IF('04_DATA'!A93="","",IF('04_DATA'!D93&lt;PERCENTILE('04_DATA'!$D$2:$D$1001,0.05),"FLAG","ok"))</f>
        <v/>
      </c>
      <c r="H96" s="55">
        <f>IF('04_DATA'!A93="","",IF(OR(C96="EXCLUDE",F96="EXCLUDE"),"Exclude under pre-specified rule",IF(E96&gt;0.15,"Exclude: &gt;15% missing",IF(G96="FLAG","Retain; test in robustness battery","Retain"))))</f>
        <v/>
      </c>
    </row>
    <row r="97">
      <c r="A97" s="55" t="n">
        <v>94</v>
      </c>
      <c r="B97" s="55">
        <f>IF('04_DATA'!A94="","",'04_DATA'!A94)</f>
        <v/>
      </c>
      <c r="C97" s="55">
        <f>IF('04_DATA'!A94="","",IF(AND('04_DATA'!G94=1,'04_DATA'!H94=1,'04_DATA'!I94&gt;=3),"eligible","EXCLUDE"))</f>
        <v/>
      </c>
      <c r="D97" s="55">
        <f>IF('04_DATA'!A94="","",37-COUNT('04_DATA'!$K94:$AU94))</f>
        <v/>
      </c>
      <c r="E97" s="63">
        <f>IF('04_DATA'!A94="","",(37-COUNT('04_DATA'!$K94:$AU94))/37)</f>
        <v/>
      </c>
      <c r="F97" s="55">
        <f>IF('04_DATA'!A94="","",IF(AND(COUNT('04_DATA'!$K94:$AU94)=37,COUNTIF('04_DATA'!$K94:$AU94,INDEX('04_DATA'!$K94:$AU94,1))=37),"EXCLUDE","ok"))</f>
        <v/>
      </c>
      <c r="G97" s="55">
        <f>IF('04_DATA'!A94="","",IF('04_DATA'!D94&lt;PERCENTILE('04_DATA'!$D$2:$D$1001,0.05),"FLAG","ok"))</f>
        <v/>
      </c>
      <c r="H97" s="55">
        <f>IF('04_DATA'!A94="","",IF(OR(C97="EXCLUDE",F97="EXCLUDE"),"Exclude under pre-specified rule",IF(E97&gt;0.15,"Exclude: &gt;15% missing",IF(G97="FLAG","Retain; test in robustness battery","Retain"))))</f>
        <v/>
      </c>
    </row>
    <row r="98">
      <c r="A98" s="55" t="n">
        <v>95</v>
      </c>
      <c r="B98" s="55">
        <f>IF('04_DATA'!A95="","",'04_DATA'!A95)</f>
        <v/>
      </c>
      <c r="C98" s="55">
        <f>IF('04_DATA'!A95="","",IF(AND('04_DATA'!G95=1,'04_DATA'!H95=1,'04_DATA'!I95&gt;=3),"eligible","EXCLUDE"))</f>
        <v/>
      </c>
      <c r="D98" s="55">
        <f>IF('04_DATA'!A95="","",37-COUNT('04_DATA'!$K95:$AU95))</f>
        <v/>
      </c>
      <c r="E98" s="63">
        <f>IF('04_DATA'!A95="","",(37-COUNT('04_DATA'!$K95:$AU95))/37)</f>
        <v/>
      </c>
      <c r="F98" s="55">
        <f>IF('04_DATA'!A95="","",IF(AND(COUNT('04_DATA'!$K95:$AU95)=37,COUNTIF('04_DATA'!$K95:$AU95,INDEX('04_DATA'!$K95:$AU95,1))=37),"EXCLUDE","ok"))</f>
        <v/>
      </c>
      <c r="G98" s="55">
        <f>IF('04_DATA'!A95="","",IF('04_DATA'!D95&lt;PERCENTILE('04_DATA'!$D$2:$D$1001,0.05),"FLAG","ok"))</f>
        <v/>
      </c>
      <c r="H98" s="55">
        <f>IF('04_DATA'!A95="","",IF(OR(C98="EXCLUDE",F98="EXCLUDE"),"Exclude under pre-specified rule",IF(E98&gt;0.15,"Exclude: &gt;15% missing",IF(G98="FLAG","Retain; test in robustness battery","Retain"))))</f>
        <v/>
      </c>
    </row>
    <row r="99">
      <c r="A99" s="55" t="n">
        <v>96</v>
      </c>
      <c r="B99" s="55">
        <f>IF('04_DATA'!A96="","",'04_DATA'!A96)</f>
        <v/>
      </c>
      <c r="C99" s="55">
        <f>IF('04_DATA'!A96="","",IF(AND('04_DATA'!G96=1,'04_DATA'!H96=1,'04_DATA'!I96&gt;=3),"eligible","EXCLUDE"))</f>
        <v/>
      </c>
      <c r="D99" s="55">
        <f>IF('04_DATA'!A96="","",37-COUNT('04_DATA'!$K96:$AU96))</f>
        <v/>
      </c>
      <c r="E99" s="63">
        <f>IF('04_DATA'!A96="","",(37-COUNT('04_DATA'!$K96:$AU96))/37)</f>
        <v/>
      </c>
      <c r="F99" s="55">
        <f>IF('04_DATA'!A96="","",IF(AND(COUNT('04_DATA'!$K96:$AU96)=37,COUNTIF('04_DATA'!$K96:$AU96,INDEX('04_DATA'!$K96:$AU96,1))=37),"EXCLUDE","ok"))</f>
        <v/>
      </c>
      <c r="G99" s="55">
        <f>IF('04_DATA'!A96="","",IF('04_DATA'!D96&lt;PERCENTILE('04_DATA'!$D$2:$D$1001,0.05),"FLAG","ok"))</f>
        <v/>
      </c>
      <c r="H99" s="55">
        <f>IF('04_DATA'!A96="","",IF(OR(C99="EXCLUDE",F99="EXCLUDE"),"Exclude under pre-specified rule",IF(E99&gt;0.15,"Exclude: &gt;15% missing",IF(G99="FLAG","Retain; test in robustness battery","Retain"))))</f>
        <v/>
      </c>
    </row>
    <row r="100">
      <c r="A100" s="55" t="n">
        <v>97</v>
      </c>
      <c r="B100" s="55">
        <f>IF('04_DATA'!A97="","",'04_DATA'!A97)</f>
        <v/>
      </c>
      <c r="C100" s="55">
        <f>IF('04_DATA'!A97="","",IF(AND('04_DATA'!G97=1,'04_DATA'!H97=1,'04_DATA'!I97&gt;=3),"eligible","EXCLUDE"))</f>
        <v/>
      </c>
      <c r="D100" s="55">
        <f>IF('04_DATA'!A97="","",37-COUNT('04_DATA'!$K97:$AU97))</f>
        <v/>
      </c>
      <c r="E100" s="63">
        <f>IF('04_DATA'!A97="","",(37-COUNT('04_DATA'!$K97:$AU97))/37)</f>
        <v/>
      </c>
      <c r="F100" s="55">
        <f>IF('04_DATA'!A97="","",IF(AND(COUNT('04_DATA'!$K97:$AU97)=37,COUNTIF('04_DATA'!$K97:$AU97,INDEX('04_DATA'!$K97:$AU97,1))=37),"EXCLUDE","ok"))</f>
        <v/>
      </c>
      <c r="G100" s="55">
        <f>IF('04_DATA'!A97="","",IF('04_DATA'!D97&lt;PERCENTILE('04_DATA'!$D$2:$D$1001,0.05),"FLAG","ok"))</f>
        <v/>
      </c>
      <c r="H100" s="55">
        <f>IF('04_DATA'!A97="","",IF(OR(C100="EXCLUDE",F100="EXCLUDE"),"Exclude under pre-specified rule",IF(E100&gt;0.15,"Exclude: &gt;15% missing",IF(G100="FLAG","Retain; test in robustness battery","Retain"))))</f>
        <v/>
      </c>
    </row>
    <row r="101">
      <c r="A101" s="55" t="n">
        <v>98</v>
      </c>
      <c r="B101" s="55">
        <f>IF('04_DATA'!A98="","",'04_DATA'!A98)</f>
        <v/>
      </c>
      <c r="C101" s="55">
        <f>IF('04_DATA'!A98="","",IF(AND('04_DATA'!G98=1,'04_DATA'!H98=1,'04_DATA'!I98&gt;=3),"eligible","EXCLUDE"))</f>
        <v/>
      </c>
      <c r="D101" s="55">
        <f>IF('04_DATA'!A98="","",37-COUNT('04_DATA'!$K98:$AU98))</f>
        <v/>
      </c>
      <c r="E101" s="63">
        <f>IF('04_DATA'!A98="","",(37-COUNT('04_DATA'!$K98:$AU98))/37)</f>
        <v/>
      </c>
      <c r="F101" s="55">
        <f>IF('04_DATA'!A98="","",IF(AND(COUNT('04_DATA'!$K98:$AU98)=37,COUNTIF('04_DATA'!$K98:$AU98,INDEX('04_DATA'!$K98:$AU98,1))=37),"EXCLUDE","ok"))</f>
        <v/>
      </c>
      <c r="G101" s="55">
        <f>IF('04_DATA'!A98="","",IF('04_DATA'!D98&lt;PERCENTILE('04_DATA'!$D$2:$D$1001,0.05),"FLAG","ok"))</f>
        <v/>
      </c>
      <c r="H101" s="55">
        <f>IF('04_DATA'!A98="","",IF(OR(C101="EXCLUDE",F101="EXCLUDE"),"Exclude under pre-specified rule",IF(E101&gt;0.15,"Exclude: &gt;15% missing",IF(G101="FLAG","Retain; test in robustness battery","Retain"))))</f>
        <v/>
      </c>
    </row>
    <row r="102">
      <c r="A102" s="55" t="n">
        <v>99</v>
      </c>
      <c r="B102" s="55">
        <f>IF('04_DATA'!A99="","",'04_DATA'!A99)</f>
        <v/>
      </c>
      <c r="C102" s="55">
        <f>IF('04_DATA'!A99="","",IF(AND('04_DATA'!G99=1,'04_DATA'!H99=1,'04_DATA'!I99&gt;=3),"eligible","EXCLUDE"))</f>
        <v/>
      </c>
      <c r="D102" s="55">
        <f>IF('04_DATA'!A99="","",37-COUNT('04_DATA'!$K99:$AU99))</f>
        <v/>
      </c>
      <c r="E102" s="63">
        <f>IF('04_DATA'!A99="","",(37-COUNT('04_DATA'!$K99:$AU99))/37)</f>
        <v/>
      </c>
      <c r="F102" s="55">
        <f>IF('04_DATA'!A99="","",IF(AND(COUNT('04_DATA'!$K99:$AU99)=37,COUNTIF('04_DATA'!$K99:$AU99,INDEX('04_DATA'!$K99:$AU99,1))=37),"EXCLUDE","ok"))</f>
        <v/>
      </c>
      <c r="G102" s="55">
        <f>IF('04_DATA'!A99="","",IF('04_DATA'!D99&lt;PERCENTILE('04_DATA'!$D$2:$D$1001,0.05),"FLAG","ok"))</f>
        <v/>
      </c>
      <c r="H102" s="55">
        <f>IF('04_DATA'!A99="","",IF(OR(C102="EXCLUDE",F102="EXCLUDE"),"Exclude under pre-specified rule",IF(E102&gt;0.15,"Exclude: &gt;15% missing",IF(G102="FLAG","Retain; test in robustness battery","Retain"))))</f>
        <v/>
      </c>
    </row>
    <row r="103">
      <c r="A103" s="55" t="n">
        <v>100</v>
      </c>
      <c r="B103" s="55">
        <f>IF('04_DATA'!A100="","",'04_DATA'!A100)</f>
        <v/>
      </c>
      <c r="C103" s="55">
        <f>IF('04_DATA'!A100="","",IF(AND('04_DATA'!G100=1,'04_DATA'!H100=1,'04_DATA'!I100&gt;=3),"eligible","EXCLUDE"))</f>
        <v/>
      </c>
      <c r="D103" s="55">
        <f>IF('04_DATA'!A100="","",37-COUNT('04_DATA'!$K100:$AU100))</f>
        <v/>
      </c>
      <c r="E103" s="63">
        <f>IF('04_DATA'!A100="","",(37-COUNT('04_DATA'!$K100:$AU100))/37)</f>
        <v/>
      </c>
      <c r="F103" s="55">
        <f>IF('04_DATA'!A100="","",IF(AND(COUNT('04_DATA'!$K100:$AU100)=37,COUNTIF('04_DATA'!$K100:$AU100,INDEX('04_DATA'!$K100:$AU100,1))=37),"EXCLUDE","ok"))</f>
        <v/>
      </c>
      <c r="G103" s="55">
        <f>IF('04_DATA'!A100="","",IF('04_DATA'!D100&lt;PERCENTILE('04_DATA'!$D$2:$D$1001,0.05),"FLAG","ok"))</f>
        <v/>
      </c>
      <c r="H103" s="55">
        <f>IF('04_DATA'!A100="","",IF(OR(C103="EXCLUDE",F103="EXCLUDE"),"Exclude under pre-specified rule",IF(E103&gt;0.15,"Exclude: &gt;15% missing",IF(G103="FLAG","Retain; test in robustness battery","Retain"))))</f>
        <v/>
      </c>
    </row>
    <row r="104">
      <c r="A104" s="55" t="n">
        <v>101</v>
      </c>
      <c r="B104" s="55">
        <f>IF('04_DATA'!A101="","",'04_DATA'!A101)</f>
        <v/>
      </c>
      <c r="C104" s="55">
        <f>IF('04_DATA'!A101="","",IF(AND('04_DATA'!G101=1,'04_DATA'!H101=1,'04_DATA'!I101&gt;=3),"eligible","EXCLUDE"))</f>
        <v/>
      </c>
      <c r="D104" s="55">
        <f>IF('04_DATA'!A101="","",37-COUNT('04_DATA'!$K101:$AU101))</f>
        <v/>
      </c>
      <c r="E104" s="63">
        <f>IF('04_DATA'!A101="","",(37-COUNT('04_DATA'!$K101:$AU101))/37)</f>
        <v/>
      </c>
      <c r="F104" s="55">
        <f>IF('04_DATA'!A101="","",IF(AND(COUNT('04_DATA'!$K101:$AU101)=37,COUNTIF('04_DATA'!$K101:$AU101,INDEX('04_DATA'!$K101:$AU101,1))=37),"EXCLUDE","ok"))</f>
        <v/>
      </c>
      <c r="G104" s="55">
        <f>IF('04_DATA'!A101="","",IF('04_DATA'!D101&lt;PERCENTILE('04_DATA'!$D$2:$D$1001,0.05),"FLAG","ok"))</f>
        <v/>
      </c>
      <c r="H104" s="55">
        <f>IF('04_DATA'!A101="","",IF(OR(C104="EXCLUDE",F104="EXCLUDE"),"Exclude under pre-specified rule",IF(E104&gt;0.15,"Exclude: &gt;15% missing",IF(G104="FLAG","Retain; test in robustness battery","Retain"))))</f>
        <v/>
      </c>
    </row>
    <row r="105">
      <c r="A105" s="55" t="n">
        <v>102</v>
      </c>
      <c r="B105" s="55">
        <f>IF('04_DATA'!A102="","",'04_DATA'!A102)</f>
        <v/>
      </c>
      <c r="C105" s="55">
        <f>IF('04_DATA'!A102="","",IF(AND('04_DATA'!G102=1,'04_DATA'!H102=1,'04_DATA'!I102&gt;=3),"eligible","EXCLUDE"))</f>
        <v/>
      </c>
      <c r="D105" s="55">
        <f>IF('04_DATA'!A102="","",37-COUNT('04_DATA'!$K102:$AU102))</f>
        <v/>
      </c>
      <c r="E105" s="63">
        <f>IF('04_DATA'!A102="","",(37-COUNT('04_DATA'!$K102:$AU102))/37)</f>
        <v/>
      </c>
      <c r="F105" s="55">
        <f>IF('04_DATA'!A102="","",IF(AND(COUNT('04_DATA'!$K102:$AU102)=37,COUNTIF('04_DATA'!$K102:$AU102,INDEX('04_DATA'!$K102:$AU102,1))=37),"EXCLUDE","ok"))</f>
        <v/>
      </c>
      <c r="G105" s="55">
        <f>IF('04_DATA'!A102="","",IF('04_DATA'!D102&lt;PERCENTILE('04_DATA'!$D$2:$D$1001,0.05),"FLAG","ok"))</f>
        <v/>
      </c>
      <c r="H105" s="55">
        <f>IF('04_DATA'!A102="","",IF(OR(C105="EXCLUDE",F105="EXCLUDE"),"Exclude under pre-specified rule",IF(E105&gt;0.15,"Exclude: &gt;15% missing",IF(G105="FLAG","Retain; test in robustness battery","Retain"))))</f>
        <v/>
      </c>
    </row>
    <row r="106">
      <c r="A106" s="55" t="n">
        <v>103</v>
      </c>
      <c r="B106" s="55">
        <f>IF('04_DATA'!A103="","",'04_DATA'!A103)</f>
        <v/>
      </c>
      <c r="C106" s="55">
        <f>IF('04_DATA'!A103="","",IF(AND('04_DATA'!G103=1,'04_DATA'!H103=1,'04_DATA'!I103&gt;=3),"eligible","EXCLUDE"))</f>
        <v/>
      </c>
      <c r="D106" s="55">
        <f>IF('04_DATA'!A103="","",37-COUNT('04_DATA'!$K103:$AU103))</f>
        <v/>
      </c>
      <c r="E106" s="63">
        <f>IF('04_DATA'!A103="","",(37-COUNT('04_DATA'!$K103:$AU103))/37)</f>
        <v/>
      </c>
      <c r="F106" s="55">
        <f>IF('04_DATA'!A103="","",IF(AND(COUNT('04_DATA'!$K103:$AU103)=37,COUNTIF('04_DATA'!$K103:$AU103,INDEX('04_DATA'!$K103:$AU103,1))=37),"EXCLUDE","ok"))</f>
        <v/>
      </c>
      <c r="G106" s="55">
        <f>IF('04_DATA'!A103="","",IF('04_DATA'!D103&lt;PERCENTILE('04_DATA'!$D$2:$D$1001,0.05),"FLAG","ok"))</f>
        <v/>
      </c>
      <c r="H106" s="55">
        <f>IF('04_DATA'!A103="","",IF(OR(C106="EXCLUDE",F106="EXCLUDE"),"Exclude under pre-specified rule",IF(E106&gt;0.15,"Exclude: &gt;15% missing",IF(G106="FLAG","Retain; test in robustness battery","Retain"))))</f>
        <v/>
      </c>
    </row>
    <row r="107">
      <c r="A107" s="55" t="n">
        <v>104</v>
      </c>
      <c r="B107" s="55">
        <f>IF('04_DATA'!A104="","",'04_DATA'!A104)</f>
        <v/>
      </c>
      <c r="C107" s="55">
        <f>IF('04_DATA'!A104="","",IF(AND('04_DATA'!G104=1,'04_DATA'!H104=1,'04_DATA'!I104&gt;=3),"eligible","EXCLUDE"))</f>
        <v/>
      </c>
      <c r="D107" s="55">
        <f>IF('04_DATA'!A104="","",37-COUNT('04_DATA'!$K104:$AU104))</f>
        <v/>
      </c>
      <c r="E107" s="63">
        <f>IF('04_DATA'!A104="","",(37-COUNT('04_DATA'!$K104:$AU104))/37)</f>
        <v/>
      </c>
      <c r="F107" s="55">
        <f>IF('04_DATA'!A104="","",IF(AND(COUNT('04_DATA'!$K104:$AU104)=37,COUNTIF('04_DATA'!$K104:$AU104,INDEX('04_DATA'!$K104:$AU104,1))=37),"EXCLUDE","ok"))</f>
        <v/>
      </c>
      <c r="G107" s="55">
        <f>IF('04_DATA'!A104="","",IF('04_DATA'!D104&lt;PERCENTILE('04_DATA'!$D$2:$D$1001,0.05),"FLAG","ok"))</f>
        <v/>
      </c>
      <c r="H107" s="55">
        <f>IF('04_DATA'!A104="","",IF(OR(C107="EXCLUDE",F107="EXCLUDE"),"Exclude under pre-specified rule",IF(E107&gt;0.15,"Exclude: &gt;15% missing",IF(G107="FLAG","Retain; test in robustness battery","Retain"))))</f>
        <v/>
      </c>
    </row>
    <row r="108">
      <c r="A108" s="55" t="n">
        <v>105</v>
      </c>
      <c r="B108" s="55">
        <f>IF('04_DATA'!A105="","",'04_DATA'!A105)</f>
        <v/>
      </c>
      <c r="C108" s="55">
        <f>IF('04_DATA'!A105="","",IF(AND('04_DATA'!G105=1,'04_DATA'!H105=1,'04_DATA'!I105&gt;=3),"eligible","EXCLUDE"))</f>
        <v/>
      </c>
      <c r="D108" s="55">
        <f>IF('04_DATA'!A105="","",37-COUNT('04_DATA'!$K105:$AU105))</f>
        <v/>
      </c>
      <c r="E108" s="63">
        <f>IF('04_DATA'!A105="","",(37-COUNT('04_DATA'!$K105:$AU105))/37)</f>
        <v/>
      </c>
      <c r="F108" s="55">
        <f>IF('04_DATA'!A105="","",IF(AND(COUNT('04_DATA'!$K105:$AU105)=37,COUNTIF('04_DATA'!$K105:$AU105,INDEX('04_DATA'!$K105:$AU105,1))=37),"EXCLUDE","ok"))</f>
        <v/>
      </c>
      <c r="G108" s="55">
        <f>IF('04_DATA'!A105="","",IF('04_DATA'!D105&lt;PERCENTILE('04_DATA'!$D$2:$D$1001,0.05),"FLAG","ok"))</f>
        <v/>
      </c>
      <c r="H108" s="55">
        <f>IF('04_DATA'!A105="","",IF(OR(C108="EXCLUDE",F108="EXCLUDE"),"Exclude under pre-specified rule",IF(E108&gt;0.15,"Exclude: &gt;15% missing",IF(G108="FLAG","Retain; test in robustness battery","Retain"))))</f>
        <v/>
      </c>
    </row>
    <row r="109">
      <c r="A109" s="55" t="n">
        <v>106</v>
      </c>
      <c r="B109" s="55">
        <f>IF('04_DATA'!A106="","",'04_DATA'!A106)</f>
        <v/>
      </c>
      <c r="C109" s="55">
        <f>IF('04_DATA'!A106="","",IF(AND('04_DATA'!G106=1,'04_DATA'!H106=1,'04_DATA'!I106&gt;=3),"eligible","EXCLUDE"))</f>
        <v/>
      </c>
      <c r="D109" s="55">
        <f>IF('04_DATA'!A106="","",37-COUNT('04_DATA'!$K106:$AU106))</f>
        <v/>
      </c>
      <c r="E109" s="63">
        <f>IF('04_DATA'!A106="","",(37-COUNT('04_DATA'!$K106:$AU106))/37)</f>
        <v/>
      </c>
      <c r="F109" s="55">
        <f>IF('04_DATA'!A106="","",IF(AND(COUNT('04_DATA'!$K106:$AU106)=37,COUNTIF('04_DATA'!$K106:$AU106,INDEX('04_DATA'!$K106:$AU106,1))=37),"EXCLUDE","ok"))</f>
        <v/>
      </c>
      <c r="G109" s="55">
        <f>IF('04_DATA'!A106="","",IF('04_DATA'!D106&lt;PERCENTILE('04_DATA'!$D$2:$D$1001,0.05),"FLAG","ok"))</f>
        <v/>
      </c>
      <c r="H109" s="55">
        <f>IF('04_DATA'!A106="","",IF(OR(C109="EXCLUDE",F109="EXCLUDE"),"Exclude under pre-specified rule",IF(E109&gt;0.15,"Exclude: &gt;15% missing",IF(G109="FLAG","Retain; test in robustness battery","Retain"))))</f>
        <v/>
      </c>
    </row>
    <row r="110">
      <c r="A110" s="55" t="n">
        <v>107</v>
      </c>
      <c r="B110" s="55">
        <f>IF('04_DATA'!A107="","",'04_DATA'!A107)</f>
        <v/>
      </c>
      <c r="C110" s="55">
        <f>IF('04_DATA'!A107="","",IF(AND('04_DATA'!G107=1,'04_DATA'!H107=1,'04_DATA'!I107&gt;=3),"eligible","EXCLUDE"))</f>
        <v/>
      </c>
      <c r="D110" s="55">
        <f>IF('04_DATA'!A107="","",37-COUNT('04_DATA'!$K107:$AU107))</f>
        <v/>
      </c>
      <c r="E110" s="63">
        <f>IF('04_DATA'!A107="","",(37-COUNT('04_DATA'!$K107:$AU107))/37)</f>
        <v/>
      </c>
      <c r="F110" s="55">
        <f>IF('04_DATA'!A107="","",IF(AND(COUNT('04_DATA'!$K107:$AU107)=37,COUNTIF('04_DATA'!$K107:$AU107,INDEX('04_DATA'!$K107:$AU107,1))=37),"EXCLUDE","ok"))</f>
        <v/>
      </c>
      <c r="G110" s="55">
        <f>IF('04_DATA'!A107="","",IF('04_DATA'!D107&lt;PERCENTILE('04_DATA'!$D$2:$D$1001,0.05),"FLAG","ok"))</f>
        <v/>
      </c>
      <c r="H110" s="55">
        <f>IF('04_DATA'!A107="","",IF(OR(C110="EXCLUDE",F110="EXCLUDE"),"Exclude under pre-specified rule",IF(E110&gt;0.15,"Exclude: &gt;15% missing",IF(G110="FLAG","Retain; test in robustness battery","Retain"))))</f>
        <v/>
      </c>
    </row>
    <row r="111">
      <c r="A111" s="55" t="n">
        <v>108</v>
      </c>
      <c r="B111" s="55">
        <f>IF('04_DATA'!A108="","",'04_DATA'!A108)</f>
        <v/>
      </c>
      <c r="C111" s="55">
        <f>IF('04_DATA'!A108="","",IF(AND('04_DATA'!G108=1,'04_DATA'!H108=1,'04_DATA'!I108&gt;=3),"eligible","EXCLUDE"))</f>
        <v/>
      </c>
      <c r="D111" s="55">
        <f>IF('04_DATA'!A108="","",37-COUNT('04_DATA'!$K108:$AU108))</f>
        <v/>
      </c>
      <c r="E111" s="63">
        <f>IF('04_DATA'!A108="","",(37-COUNT('04_DATA'!$K108:$AU108))/37)</f>
        <v/>
      </c>
      <c r="F111" s="55">
        <f>IF('04_DATA'!A108="","",IF(AND(COUNT('04_DATA'!$K108:$AU108)=37,COUNTIF('04_DATA'!$K108:$AU108,INDEX('04_DATA'!$K108:$AU108,1))=37),"EXCLUDE","ok"))</f>
        <v/>
      </c>
      <c r="G111" s="55">
        <f>IF('04_DATA'!A108="","",IF('04_DATA'!D108&lt;PERCENTILE('04_DATA'!$D$2:$D$1001,0.05),"FLAG","ok"))</f>
        <v/>
      </c>
      <c r="H111" s="55">
        <f>IF('04_DATA'!A108="","",IF(OR(C111="EXCLUDE",F111="EXCLUDE"),"Exclude under pre-specified rule",IF(E111&gt;0.15,"Exclude: &gt;15% missing",IF(G111="FLAG","Retain; test in robustness battery","Retain"))))</f>
        <v/>
      </c>
    </row>
    <row r="112">
      <c r="A112" s="55" t="n">
        <v>109</v>
      </c>
      <c r="B112" s="55">
        <f>IF('04_DATA'!A109="","",'04_DATA'!A109)</f>
        <v/>
      </c>
      <c r="C112" s="55">
        <f>IF('04_DATA'!A109="","",IF(AND('04_DATA'!G109=1,'04_DATA'!H109=1,'04_DATA'!I109&gt;=3),"eligible","EXCLUDE"))</f>
        <v/>
      </c>
      <c r="D112" s="55">
        <f>IF('04_DATA'!A109="","",37-COUNT('04_DATA'!$K109:$AU109))</f>
        <v/>
      </c>
      <c r="E112" s="63">
        <f>IF('04_DATA'!A109="","",(37-COUNT('04_DATA'!$K109:$AU109))/37)</f>
        <v/>
      </c>
      <c r="F112" s="55">
        <f>IF('04_DATA'!A109="","",IF(AND(COUNT('04_DATA'!$K109:$AU109)=37,COUNTIF('04_DATA'!$K109:$AU109,INDEX('04_DATA'!$K109:$AU109,1))=37),"EXCLUDE","ok"))</f>
        <v/>
      </c>
      <c r="G112" s="55">
        <f>IF('04_DATA'!A109="","",IF('04_DATA'!D109&lt;PERCENTILE('04_DATA'!$D$2:$D$1001,0.05),"FLAG","ok"))</f>
        <v/>
      </c>
      <c r="H112" s="55">
        <f>IF('04_DATA'!A109="","",IF(OR(C112="EXCLUDE",F112="EXCLUDE"),"Exclude under pre-specified rule",IF(E112&gt;0.15,"Exclude: &gt;15% missing",IF(G112="FLAG","Retain; test in robustness battery","Retain"))))</f>
        <v/>
      </c>
    </row>
    <row r="113">
      <c r="A113" s="55" t="n">
        <v>110</v>
      </c>
      <c r="B113" s="55">
        <f>IF('04_DATA'!A110="","",'04_DATA'!A110)</f>
        <v/>
      </c>
      <c r="C113" s="55">
        <f>IF('04_DATA'!A110="","",IF(AND('04_DATA'!G110=1,'04_DATA'!H110=1,'04_DATA'!I110&gt;=3),"eligible","EXCLUDE"))</f>
        <v/>
      </c>
      <c r="D113" s="55">
        <f>IF('04_DATA'!A110="","",37-COUNT('04_DATA'!$K110:$AU110))</f>
        <v/>
      </c>
      <c r="E113" s="63">
        <f>IF('04_DATA'!A110="","",(37-COUNT('04_DATA'!$K110:$AU110))/37)</f>
        <v/>
      </c>
      <c r="F113" s="55">
        <f>IF('04_DATA'!A110="","",IF(AND(COUNT('04_DATA'!$K110:$AU110)=37,COUNTIF('04_DATA'!$K110:$AU110,INDEX('04_DATA'!$K110:$AU110,1))=37),"EXCLUDE","ok"))</f>
        <v/>
      </c>
      <c r="G113" s="55">
        <f>IF('04_DATA'!A110="","",IF('04_DATA'!D110&lt;PERCENTILE('04_DATA'!$D$2:$D$1001,0.05),"FLAG","ok"))</f>
        <v/>
      </c>
      <c r="H113" s="55">
        <f>IF('04_DATA'!A110="","",IF(OR(C113="EXCLUDE",F113="EXCLUDE"),"Exclude under pre-specified rule",IF(E113&gt;0.15,"Exclude: &gt;15% missing",IF(G113="FLAG","Retain; test in robustness battery","Retain"))))</f>
        <v/>
      </c>
    </row>
    <row r="114">
      <c r="A114" s="55" t="n">
        <v>111</v>
      </c>
      <c r="B114" s="55">
        <f>IF('04_DATA'!A111="","",'04_DATA'!A111)</f>
        <v/>
      </c>
      <c r="C114" s="55">
        <f>IF('04_DATA'!A111="","",IF(AND('04_DATA'!G111=1,'04_DATA'!H111=1,'04_DATA'!I111&gt;=3),"eligible","EXCLUDE"))</f>
        <v/>
      </c>
      <c r="D114" s="55">
        <f>IF('04_DATA'!A111="","",37-COUNT('04_DATA'!$K111:$AU111))</f>
        <v/>
      </c>
      <c r="E114" s="63">
        <f>IF('04_DATA'!A111="","",(37-COUNT('04_DATA'!$K111:$AU111))/37)</f>
        <v/>
      </c>
      <c r="F114" s="55">
        <f>IF('04_DATA'!A111="","",IF(AND(COUNT('04_DATA'!$K111:$AU111)=37,COUNTIF('04_DATA'!$K111:$AU111,INDEX('04_DATA'!$K111:$AU111,1))=37),"EXCLUDE","ok"))</f>
        <v/>
      </c>
      <c r="G114" s="55">
        <f>IF('04_DATA'!A111="","",IF('04_DATA'!D111&lt;PERCENTILE('04_DATA'!$D$2:$D$1001,0.05),"FLAG","ok"))</f>
        <v/>
      </c>
      <c r="H114" s="55">
        <f>IF('04_DATA'!A111="","",IF(OR(C114="EXCLUDE",F114="EXCLUDE"),"Exclude under pre-specified rule",IF(E114&gt;0.15,"Exclude: &gt;15% missing",IF(G114="FLAG","Retain; test in robustness battery","Retain"))))</f>
        <v/>
      </c>
    </row>
    <row r="115">
      <c r="A115" s="55" t="n">
        <v>112</v>
      </c>
      <c r="B115" s="55">
        <f>IF('04_DATA'!A112="","",'04_DATA'!A112)</f>
        <v/>
      </c>
      <c r="C115" s="55">
        <f>IF('04_DATA'!A112="","",IF(AND('04_DATA'!G112=1,'04_DATA'!H112=1,'04_DATA'!I112&gt;=3),"eligible","EXCLUDE"))</f>
        <v/>
      </c>
      <c r="D115" s="55">
        <f>IF('04_DATA'!A112="","",37-COUNT('04_DATA'!$K112:$AU112))</f>
        <v/>
      </c>
      <c r="E115" s="63">
        <f>IF('04_DATA'!A112="","",(37-COUNT('04_DATA'!$K112:$AU112))/37)</f>
        <v/>
      </c>
      <c r="F115" s="55">
        <f>IF('04_DATA'!A112="","",IF(AND(COUNT('04_DATA'!$K112:$AU112)=37,COUNTIF('04_DATA'!$K112:$AU112,INDEX('04_DATA'!$K112:$AU112,1))=37),"EXCLUDE","ok"))</f>
        <v/>
      </c>
      <c r="G115" s="55">
        <f>IF('04_DATA'!A112="","",IF('04_DATA'!D112&lt;PERCENTILE('04_DATA'!$D$2:$D$1001,0.05),"FLAG","ok"))</f>
        <v/>
      </c>
      <c r="H115" s="55">
        <f>IF('04_DATA'!A112="","",IF(OR(C115="EXCLUDE",F115="EXCLUDE"),"Exclude under pre-specified rule",IF(E115&gt;0.15,"Exclude: &gt;15% missing",IF(G115="FLAG","Retain; test in robustness battery","Retain"))))</f>
        <v/>
      </c>
    </row>
    <row r="116">
      <c r="A116" s="55" t="n">
        <v>113</v>
      </c>
      <c r="B116" s="55">
        <f>IF('04_DATA'!A113="","",'04_DATA'!A113)</f>
        <v/>
      </c>
      <c r="C116" s="55">
        <f>IF('04_DATA'!A113="","",IF(AND('04_DATA'!G113=1,'04_DATA'!H113=1,'04_DATA'!I113&gt;=3),"eligible","EXCLUDE"))</f>
        <v/>
      </c>
      <c r="D116" s="55">
        <f>IF('04_DATA'!A113="","",37-COUNT('04_DATA'!$K113:$AU113))</f>
        <v/>
      </c>
      <c r="E116" s="63">
        <f>IF('04_DATA'!A113="","",(37-COUNT('04_DATA'!$K113:$AU113))/37)</f>
        <v/>
      </c>
      <c r="F116" s="55">
        <f>IF('04_DATA'!A113="","",IF(AND(COUNT('04_DATA'!$K113:$AU113)=37,COUNTIF('04_DATA'!$K113:$AU113,INDEX('04_DATA'!$K113:$AU113,1))=37),"EXCLUDE","ok"))</f>
        <v/>
      </c>
      <c r="G116" s="55">
        <f>IF('04_DATA'!A113="","",IF('04_DATA'!D113&lt;PERCENTILE('04_DATA'!$D$2:$D$1001,0.05),"FLAG","ok"))</f>
        <v/>
      </c>
      <c r="H116" s="55">
        <f>IF('04_DATA'!A113="","",IF(OR(C116="EXCLUDE",F116="EXCLUDE"),"Exclude under pre-specified rule",IF(E116&gt;0.15,"Exclude: &gt;15% missing",IF(G116="FLAG","Retain; test in robustness battery","Retain"))))</f>
        <v/>
      </c>
    </row>
    <row r="117">
      <c r="A117" s="55" t="n">
        <v>114</v>
      </c>
      <c r="B117" s="55">
        <f>IF('04_DATA'!A114="","",'04_DATA'!A114)</f>
        <v/>
      </c>
      <c r="C117" s="55">
        <f>IF('04_DATA'!A114="","",IF(AND('04_DATA'!G114=1,'04_DATA'!H114=1,'04_DATA'!I114&gt;=3),"eligible","EXCLUDE"))</f>
        <v/>
      </c>
      <c r="D117" s="55">
        <f>IF('04_DATA'!A114="","",37-COUNT('04_DATA'!$K114:$AU114))</f>
        <v/>
      </c>
      <c r="E117" s="63">
        <f>IF('04_DATA'!A114="","",(37-COUNT('04_DATA'!$K114:$AU114))/37)</f>
        <v/>
      </c>
      <c r="F117" s="55">
        <f>IF('04_DATA'!A114="","",IF(AND(COUNT('04_DATA'!$K114:$AU114)=37,COUNTIF('04_DATA'!$K114:$AU114,INDEX('04_DATA'!$K114:$AU114,1))=37),"EXCLUDE","ok"))</f>
        <v/>
      </c>
      <c r="G117" s="55">
        <f>IF('04_DATA'!A114="","",IF('04_DATA'!D114&lt;PERCENTILE('04_DATA'!$D$2:$D$1001,0.05),"FLAG","ok"))</f>
        <v/>
      </c>
      <c r="H117" s="55">
        <f>IF('04_DATA'!A114="","",IF(OR(C117="EXCLUDE",F117="EXCLUDE"),"Exclude under pre-specified rule",IF(E117&gt;0.15,"Exclude: &gt;15% missing",IF(G117="FLAG","Retain; test in robustness battery","Retain"))))</f>
        <v/>
      </c>
    </row>
    <row r="118">
      <c r="A118" s="55" t="n">
        <v>115</v>
      </c>
      <c r="B118" s="55">
        <f>IF('04_DATA'!A115="","",'04_DATA'!A115)</f>
        <v/>
      </c>
      <c r="C118" s="55">
        <f>IF('04_DATA'!A115="","",IF(AND('04_DATA'!G115=1,'04_DATA'!H115=1,'04_DATA'!I115&gt;=3),"eligible","EXCLUDE"))</f>
        <v/>
      </c>
      <c r="D118" s="55">
        <f>IF('04_DATA'!A115="","",37-COUNT('04_DATA'!$K115:$AU115))</f>
        <v/>
      </c>
      <c r="E118" s="63">
        <f>IF('04_DATA'!A115="","",(37-COUNT('04_DATA'!$K115:$AU115))/37)</f>
        <v/>
      </c>
      <c r="F118" s="55">
        <f>IF('04_DATA'!A115="","",IF(AND(COUNT('04_DATA'!$K115:$AU115)=37,COUNTIF('04_DATA'!$K115:$AU115,INDEX('04_DATA'!$K115:$AU115,1))=37),"EXCLUDE","ok"))</f>
        <v/>
      </c>
      <c r="G118" s="55">
        <f>IF('04_DATA'!A115="","",IF('04_DATA'!D115&lt;PERCENTILE('04_DATA'!$D$2:$D$1001,0.05),"FLAG","ok"))</f>
        <v/>
      </c>
      <c r="H118" s="55">
        <f>IF('04_DATA'!A115="","",IF(OR(C118="EXCLUDE",F118="EXCLUDE"),"Exclude under pre-specified rule",IF(E118&gt;0.15,"Exclude: &gt;15% missing",IF(G118="FLAG","Retain; test in robustness battery","Retain"))))</f>
        <v/>
      </c>
    </row>
    <row r="119">
      <c r="A119" s="55" t="n">
        <v>116</v>
      </c>
      <c r="B119" s="55">
        <f>IF('04_DATA'!A116="","",'04_DATA'!A116)</f>
        <v/>
      </c>
      <c r="C119" s="55">
        <f>IF('04_DATA'!A116="","",IF(AND('04_DATA'!G116=1,'04_DATA'!H116=1,'04_DATA'!I116&gt;=3),"eligible","EXCLUDE"))</f>
        <v/>
      </c>
      <c r="D119" s="55">
        <f>IF('04_DATA'!A116="","",37-COUNT('04_DATA'!$K116:$AU116))</f>
        <v/>
      </c>
      <c r="E119" s="63">
        <f>IF('04_DATA'!A116="","",(37-COUNT('04_DATA'!$K116:$AU116))/37)</f>
        <v/>
      </c>
      <c r="F119" s="55">
        <f>IF('04_DATA'!A116="","",IF(AND(COUNT('04_DATA'!$K116:$AU116)=37,COUNTIF('04_DATA'!$K116:$AU116,INDEX('04_DATA'!$K116:$AU116,1))=37),"EXCLUDE","ok"))</f>
        <v/>
      </c>
      <c r="G119" s="55">
        <f>IF('04_DATA'!A116="","",IF('04_DATA'!D116&lt;PERCENTILE('04_DATA'!$D$2:$D$1001,0.05),"FLAG","ok"))</f>
        <v/>
      </c>
      <c r="H119" s="55">
        <f>IF('04_DATA'!A116="","",IF(OR(C119="EXCLUDE",F119="EXCLUDE"),"Exclude under pre-specified rule",IF(E119&gt;0.15,"Exclude: &gt;15% missing",IF(G119="FLAG","Retain; test in robustness battery","Retain"))))</f>
        <v/>
      </c>
    </row>
    <row r="120">
      <c r="A120" s="55" t="n">
        <v>117</v>
      </c>
      <c r="B120" s="55">
        <f>IF('04_DATA'!A117="","",'04_DATA'!A117)</f>
        <v/>
      </c>
      <c r="C120" s="55">
        <f>IF('04_DATA'!A117="","",IF(AND('04_DATA'!G117=1,'04_DATA'!H117=1,'04_DATA'!I117&gt;=3),"eligible","EXCLUDE"))</f>
        <v/>
      </c>
      <c r="D120" s="55">
        <f>IF('04_DATA'!A117="","",37-COUNT('04_DATA'!$K117:$AU117))</f>
        <v/>
      </c>
      <c r="E120" s="63">
        <f>IF('04_DATA'!A117="","",(37-COUNT('04_DATA'!$K117:$AU117))/37)</f>
        <v/>
      </c>
      <c r="F120" s="55">
        <f>IF('04_DATA'!A117="","",IF(AND(COUNT('04_DATA'!$K117:$AU117)=37,COUNTIF('04_DATA'!$K117:$AU117,INDEX('04_DATA'!$K117:$AU117,1))=37),"EXCLUDE","ok"))</f>
        <v/>
      </c>
      <c r="G120" s="55">
        <f>IF('04_DATA'!A117="","",IF('04_DATA'!D117&lt;PERCENTILE('04_DATA'!$D$2:$D$1001,0.05),"FLAG","ok"))</f>
        <v/>
      </c>
      <c r="H120" s="55">
        <f>IF('04_DATA'!A117="","",IF(OR(C120="EXCLUDE",F120="EXCLUDE"),"Exclude under pre-specified rule",IF(E120&gt;0.15,"Exclude: &gt;15% missing",IF(G120="FLAG","Retain; test in robustness battery","Retain"))))</f>
        <v/>
      </c>
    </row>
    <row r="121">
      <c r="A121" s="55" t="n">
        <v>118</v>
      </c>
      <c r="B121" s="55">
        <f>IF('04_DATA'!A118="","",'04_DATA'!A118)</f>
        <v/>
      </c>
      <c r="C121" s="55">
        <f>IF('04_DATA'!A118="","",IF(AND('04_DATA'!G118=1,'04_DATA'!H118=1,'04_DATA'!I118&gt;=3),"eligible","EXCLUDE"))</f>
        <v/>
      </c>
      <c r="D121" s="55">
        <f>IF('04_DATA'!A118="","",37-COUNT('04_DATA'!$K118:$AU118))</f>
        <v/>
      </c>
      <c r="E121" s="63">
        <f>IF('04_DATA'!A118="","",(37-COUNT('04_DATA'!$K118:$AU118))/37)</f>
        <v/>
      </c>
      <c r="F121" s="55">
        <f>IF('04_DATA'!A118="","",IF(AND(COUNT('04_DATA'!$K118:$AU118)=37,COUNTIF('04_DATA'!$K118:$AU118,INDEX('04_DATA'!$K118:$AU118,1))=37),"EXCLUDE","ok"))</f>
        <v/>
      </c>
      <c r="G121" s="55">
        <f>IF('04_DATA'!A118="","",IF('04_DATA'!D118&lt;PERCENTILE('04_DATA'!$D$2:$D$1001,0.05),"FLAG","ok"))</f>
        <v/>
      </c>
      <c r="H121" s="55">
        <f>IF('04_DATA'!A118="","",IF(OR(C121="EXCLUDE",F121="EXCLUDE"),"Exclude under pre-specified rule",IF(E121&gt;0.15,"Exclude: &gt;15% missing",IF(G121="FLAG","Retain; test in robustness battery","Retain"))))</f>
        <v/>
      </c>
    </row>
    <row r="122">
      <c r="A122" s="55" t="n">
        <v>119</v>
      </c>
      <c r="B122" s="55">
        <f>IF('04_DATA'!A119="","",'04_DATA'!A119)</f>
        <v/>
      </c>
      <c r="C122" s="55">
        <f>IF('04_DATA'!A119="","",IF(AND('04_DATA'!G119=1,'04_DATA'!H119=1,'04_DATA'!I119&gt;=3),"eligible","EXCLUDE"))</f>
        <v/>
      </c>
      <c r="D122" s="55">
        <f>IF('04_DATA'!A119="","",37-COUNT('04_DATA'!$K119:$AU119))</f>
        <v/>
      </c>
      <c r="E122" s="63">
        <f>IF('04_DATA'!A119="","",(37-COUNT('04_DATA'!$K119:$AU119))/37)</f>
        <v/>
      </c>
      <c r="F122" s="55">
        <f>IF('04_DATA'!A119="","",IF(AND(COUNT('04_DATA'!$K119:$AU119)=37,COUNTIF('04_DATA'!$K119:$AU119,INDEX('04_DATA'!$K119:$AU119,1))=37),"EXCLUDE","ok"))</f>
        <v/>
      </c>
      <c r="G122" s="55">
        <f>IF('04_DATA'!A119="","",IF('04_DATA'!D119&lt;PERCENTILE('04_DATA'!$D$2:$D$1001,0.05),"FLAG","ok"))</f>
        <v/>
      </c>
      <c r="H122" s="55">
        <f>IF('04_DATA'!A119="","",IF(OR(C122="EXCLUDE",F122="EXCLUDE"),"Exclude under pre-specified rule",IF(E122&gt;0.15,"Exclude: &gt;15% missing",IF(G122="FLAG","Retain; test in robustness battery","Retain"))))</f>
        <v/>
      </c>
    </row>
    <row r="123">
      <c r="A123" s="55" t="n">
        <v>120</v>
      </c>
      <c r="B123" s="55">
        <f>IF('04_DATA'!A120="","",'04_DATA'!A120)</f>
        <v/>
      </c>
      <c r="C123" s="55">
        <f>IF('04_DATA'!A120="","",IF(AND('04_DATA'!G120=1,'04_DATA'!H120=1,'04_DATA'!I120&gt;=3),"eligible","EXCLUDE"))</f>
        <v/>
      </c>
      <c r="D123" s="55">
        <f>IF('04_DATA'!A120="","",37-COUNT('04_DATA'!$K120:$AU120))</f>
        <v/>
      </c>
      <c r="E123" s="63">
        <f>IF('04_DATA'!A120="","",(37-COUNT('04_DATA'!$K120:$AU120))/37)</f>
        <v/>
      </c>
      <c r="F123" s="55">
        <f>IF('04_DATA'!A120="","",IF(AND(COUNT('04_DATA'!$K120:$AU120)=37,COUNTIF('04_DATA'!$K120:$AU120,INDEX('04_DATA'!$K120:$AU120,1))=37),"EXCLUDE","ok"))</f>
        <v/>
      </c>
      <c r="G123" s="55">
        <f>IF('04_DATA'!A120="","",IF('04_DATA'!D120&lt;PERCENTILE('04_DATA'!$D$2:$D$1001,0.05),"FLAG","ok"))</f>
        <v/>
      </c>
      <c r="H123" s="55">
        <f>IF('04_DATA'!A120="","",IF(OR(C123="EXCLUDE",F123="EXCLUDE"),"Exclude under pre-specified rule",IF(E123&gt;0.15,"Exclude: &gt;15% missing",IF(G123="FLAG","Retain; test in robustness battery","Retain"))))</f>
        <v/>
      </c>
    </row>
    <row r="124">
      <c r="A124" s="55" t="n">
        <v>121</v>
      </c>
      <c r="B124" s="55">
        <f>IF('04_DATA'!A121="","",'04_DATA'!A121)</f>
        <v/>
      </c>
      <c r="C124" s="55">
        <f>IF('04_DATA'!A121="","",IF(AND('04_DATA'!G121=1,'04_DATA'!H121=1,'04_DATA'!I121&gt;=3),"eligible","EXCLUDE"))</f>
        <v/>
      </c>
      <c r="D124" s="55">
        <f>IF('04_DATA'!A121="","",37-COUNT('04_DATA'!$K121:$AU121))</f>
        <v/>
      </c>
      <c r="E124" s="63">
        <f>IF('04_DATA'!A121="","",(37-COUNT('04_DATA'!$K121:$AU121))/37)</f>
        <v/>
      </c>
      <c r="F124" s="55">
        <f>IF('04_DATA'!A121="","",IF(AND(COUNT('04_DATA'!$K121:$AU121)=37,COUNTIF('04_DATA'!$K121:$AU121,INDEX('04_DATA'!$K121:$AU121,1))=37),"EXCLUDE","ok"))</f>
        <v/>
      </c>
      <c r="G124" s="55">
        <f>IF('04_DATA'!A121="","",IF('04_DATA'!D121&lt;PERCENTILE('04_DATA'!$D$2:$D$1001,0.05),"FLAG","ok"))</f>
        <v/>
      </c>
      <c r="H124" s="55">
        <f>IF('04_DATA'!A121="","",IF(OR(C124="EXCLUDE",F124="EXCLUDE"),"Exclude under pre-specified rule",IF(E124&gt;0.15,"Exclude: &gt;15% missing",IF(G124="FLAG","Retain; test in robustness battery","Retain"))))</f>
        <v/>
      </c>
    </row>
    <row r="125">
      <c r="A125" s="55" t="n">
        <v>122</v>
      </c>
      <c r="B125" s="55">
        <f>IF('04_DATA'!A122="","",'04_DATA'!A122)</f>
        <v/>
      </c>
      <c r="C125" s="55">
        <f>IF('04_DATA'!A122="","",IF(AND('04_DATA'!G122=1,'04_DATA'!H122=1,'04_DATA'!I122&gt;=3),"eligible","EXCLUDE"))</f>
        <v/>
      </c>
      <c r="D125" s="55">
        <f>IF('04_DATA'!A122="","",37-COUNT('04_DATA'!$K122:$AU122))</f>
        <v/>
      </c>
      <c r="E125" s="63">
        <f>IF('04_DATA'!A122="","",(37-COUNT('04_DATA'!$K122:$AU122))/37)</f>
        <v/>
      </c>
      <c r="F125" s="55">
        <f>IF('04_DATA'!A122="","",IF(AND(COUNT('04_DATA'!$K122:$AU122)=37,COUNTIF('04_DATA'!$K122:$AU122,INDEX('04_DATA'!$K122:$AU122,1))=37),"EXCLUDE","ok"))</f>
        <v/>
      </c>
      <c r="G125" s="55">
        <f>IF('04_DATA'!A122="","",IF('04_DATA'!D122&lt;PERCENTILE('04_DATA'!$D$2:$D$1001,0.05),"FLAG","ok"))</f>
        <v/>
      </c>
      <c r="H125" s="55">
        <f>IF('04_DATA'!A122="","",IF(OR(C125="EXCLUDE",F125="EXCLUDE"),"Exclude under pre-specified rule",IF(E125&gt;0.15,"Exclude: &gt;15% missing",IF(G125="FLAG","Retain; test in robustness battery","Retain"))))</f>
        <v/>
      </c>
    </row>
    <row r="126">
      <c r="A126" s="55" t="n">
        <v>123</v>
      </c>
      <c r="B126" s="55">
        <f>IF('04_DATA'!A123="","",'04_DATA'!A123)</f>
        <v/>
      </c>
      <c r="C126" s="55">
        <f>IF('04_DATA'!A123="","",IF(AND('04_DATA'!G123=1,'04_DATA'!H123=1,'04_DATA'!I123&gt;=3),"eligible","EXCLUDE"))</f>
        <v/>
      </c>
      <c r="D126" s="55">
        <f>IF('04_DATA'!A123="","",37-COUNT('04_DATA'!$K123:$AU123))</f>
        <v/>
      </c>
      <c r="E126" s="63">
        <f>IF('04_DATA'!A123="","",(37-COUNT('04_DATA'!$K123:$AU123))/37)</f>
        <v/>
      </c>
      <c r="F126" s="55">
        <f>IF('04_DATA'!A123="","",IF(AND(COUNT('04_DATA'!$K123:$AU123)=37,COUNTIF('04_DATA'!$K123:$AU123,INDEX('04_DATA'!$K123:$AU123,1))=37),"EXCLUDE","ok"))</f>
        <v/>
      </c>
      <c r="G126" s="55">
        <f>IF('04_DATA'!A123="","",IF('04_DATA'!D123&lt;PERCENTILE('04_DATA'!$D$2:$D$1001,0.05),"FLAG","ok"))</f>
        <v/>
      </c>
      <c r="H126" s="55">
        <f>IF('04_DATA'!A123="","",IF(OR(C126="EXCLUDE",F126="EXCLUDE"),"Exclude under pre-specified rule",IF(E126&gt;0.15,"Exclude: &gt;15% missing",IF(G126="FLAG","Retain; test in robustness battery","Retain"))))</f>
        <v/>
      </c>
    </row>
    <row r="127">
      <c r="A127" s="55" t="n">
        <v>124</v>
      </c>
      <c r="B127" s="55">
        <f>IF('04_DATA'!A124="","",'04_DATA'!A124)</f>
        <v/>
      </c>
      <c r="C127" s="55">
        <f>IF('04_DATA'!A124="","",IF(AND('04_DATA'!G124=1,'04_DATA'!H124=1,'04_DATA'!I124&gt;=3),"eligible","EXCLUDE"))</f>
        <v/>
      </c>
      <c r="D127" s="55">
        <f>IF('04_DATA'!A124="","",37-COUNT('04_DATA'!$K124:$AU124))</f>
        <v/>
      </c>
      <c r="E127" s="63">
        <f>IF('04_DATA'!A124="","",(37-COUNT('04_DATA'!$K124:$AU124))/37)</f>
        <v/>
      </c>
      <c r="F127" s="55">
        <f>IF('04_DATA'!A124="","",IF(AND(COUNT('04_DATA'!$K124:$AU124)=37,COUNTIF('04_DATA'!$K124:$AU124,INDEX('04_DATA'!$K124:$AU124,1))=37),"EXCLUDE","ok"))</f>
        <v/>
      </c>
      <c r="G127" s="55">
        <f>IF('04_DATA'!A124="","",IF('04_DATA'!D124&lt;PERCENTILE('04_DATA'!$D$2:$D$1001,0.05),"FLAG","ok"))</f>
        <v/>
      </c>
      <c r="H127" s="55">
        <f>IF('04_DATA'!A124="","",IF(OR(C127="EXCLUDE",F127="EXCLUDE"),"Exclude under pre-specified rule",IF(E127&gt;0.15,"Exclude: &gt;15% missing",IF(G127="FLAG","Retain; test in robustness battery","Retain"))))</f>
        <v/>
      </c>
    </row>
    <row r="128">
      <c r="A128" s="55" t="n">
        <v>125</v>
      </c>
      <c r="B128" s="55">
        <f>IF('04_DATA'!A125="","",'04_DATA'!A125)</f>
        <v/>
      </c>
      <c r="C128" s="55">
        <f>IF('04_DATA'!A125="","",IF(AND('04_DATA'!G125=1,'04_DATA'!H125=1,'04_DATA'!I125&gt;=3),"eligible","EXCLUDE"))</f>
        <v/>
      </c>
      <c r="D128" s="55">
        <f>IF('04_DATA'!A125="","",37-COUNT('04_DATA'!$K125:$AU125))</f>
        <v/>
      </c>
      <c r="E128" s="63">
        <f>IF('04_DATA'!A125="","",(37-COUNT('04_DATA'!$K125:$AU125))/37)</f>
        <v/>
      </c>
      <c r="F128" s="55">
        <f>IF('04_DATA'!A125="","",IF(AND(COUNT('04_DATA'!$K125:$AU125)=37,COUNTIF('04_DATA'!$K125:$AU125,INDEX('04_DATA'!$K125:$AU125,1))=37),"EXCLUDE","ok"))</f>
        <v/>
      </c>
      <c r="G128" s="55">
        <f>IF('04_DATA'!A125="","",IF('04_DATA'!D125&lt;PERCENTILE('04_DATA'!$D$2:$D$1001,0.05),"FLAG","ok"))</f>
        <v/>
      </c>
      <c r="H128" s="55">
        <f>IF('04_DATA'!A125="","",IF(OR(C128="EXCLUDE",F128="EXCLUDE"),"Exclude under pre-specified rule",IF(E128&gt;0.15,"Exclude: &gt;15% missing",IF(G128="FLAG","Retain; test in robustness battery","Retain"))))</f>
        <v/>
      </c>
    </row>
    <row r="129">
      <c r="A129" s="55" t="n">
        <v>126</v>
      </c>
      <c r="B129" s="55">
        <f>IF('04_DATA'!A126="","",'04_DATA'!A126)</f>
        <v/>
      </c>
      <c r="C129" s="55">
        <f>IF('04_DATA'!A126="","",IF(AND('04_DATA'!G126=1,'04_DATA'!H126=1,'04_DATA'!I126&gt;=3),"eligible","EXCLUDE"))</f>
        <v/>
      </c>
      <c r="D129" s="55">
        <f>IF('04_DATA'!A126="","",37-COUNT('04_DATA'!$K126:$AU126))</f>
        <v/>
      </c>
      <c r="E129" s="63">
        <f>IF('04_DATA'!A126="","",(37-COUNT('04_DATA'!$K126:$AU126))/37)</f>
        <v/>
      </c>
      <c r="F129" s="55">
        <f>IF('04_DATA'!A126="","",IF(AND(COUNT('04_DATA'!$K126:$AU126)=37,COUNTIF('04_DATA'!$K126:$AU126,INDEX('04_DATA'!$K126:$AU126,1))=37),"EXCLUDE","ok"))</f>
        <v/>
      </c>
      <c r="G129" s="55">
        <f>IF('04_DATA'!A126="","",IF('04_DATA'!D126&lt;PERCENTILE('04_DATA'!$D$2:$D$1001,0.05),"FLAG","ok"))</f>
        <v/>
      </c>
      <c r="H129" s="55">
        <f>IF('04_DATA'!A126="","",IF(OR(C129="EXCLUDE",F129="EXCLUDE"),"Exclude under pre-specified rule",IF(E129&gt;0.15,"Exclude: &gt;15% missing",IF(G129="FLAG","Retain; test in robustness battery","Retain"))))</f>
        <v/>
      </c>
    </row>
    <row r="130">
      <c r="A130" s="55" t="n">
        <v>127</v>
      </c>
      <c r="B130" s="55">
        <f>IF('04_DATA'!A127="","",'04_DATA'!A127)</f>
        <v/>
      </c>
      <c r="C130" s="55">
        <f>IF('04_DATA'!A127="","",IF(AND('04_DATA'!G127=1,'04_DATA'!H127=1,'04_DATA'!I127&gt;=3),"eligible","EXCLUDE"))</f>
        <v/>
      </c>
      <c r="D130" s="55">
        <f>IF('04_DATA'!A127="","",37-COUNT('04_DATA'!$K127:$AU127))</f>
        <v/>
      </c>
      <c r="E130" s="63">
        <f>IF('04_DATA'!A127="","",(37-COUNT('04_DATA'!$K127:$AU127))/37)</f>
        <v/>
      </c>
      <c r="F130" s="55">
        <f>IF('04_DATA'!A127="","",IF(AND(COUNT('04_DATA'!$K127:$AU127)=37,COUNTIF('04_DATA'!$K127:$AU127,INDEX('04_DATA'!$K127:$AU127,1))=37),"EXCLUDE","ok"))</f>
        <v/>
      </c>
      <c r="G130" s="55">
        <f>IF('04_DATA'!A127="","",IF('04_DATA'!D127&lt;PERCENTILE('04_DATA'!$D$2:$D$1001,0.05),"FLAG","ok"))</f>
        <v/>
      </c>
      <c r="H130" s="55">
        <f>IF('04_DATA'!A127="","",IF(OR(C130="EXCLUDE",F130="EXCLUDE"),"Exclude under pre-specified rule",IF(E130&gt;0.15,"Exclude: &gt;15% missing",IF(G130="FLAG","Retain; test in robustness battery","Retain"))))</f>
        <v/>
      </c>
    </row>
    <row r="131">
      <c r="A131" s="55" t="n">
        <v>128</v>
      </c>
      <c r="B131" s="55">
        <f>IF('04_DATA'!A128="","",'04_DATA'!A128)</f>
        <v/>
      </c>
      <c r="C131" s="55">
        <f>IF('04_DATA'!A128="","",IF(AND('04_DATA'!G128=1,'04_DATA'!H128=1,'04_DATA'!I128&gt;=3),"eligible","EXCLUDE"))</f>
        <v/>
      </c>
      <c r="D131" s="55">
        <f>IF('04_DATA'!A128="","",37-COUNT('04_DATA'!$K128:$AU128))</f>
        <v/>
      </c>
      <c r="E131" s="63">
        <f>IF('04_DATA'!A128="","",(37-COUNT('04_DATA'!$K128:$AU128))/37)</f>
        <v/>
      </c>
      <c r="F131" s="55">
        <f>IF('04_DATA'!A128="","",IF(AND(COUNT('04_DATA'!$K128:$AU128)=37,COUNTIF('04_DATA'!$K128:$AU128,INDEX('04_DATA'!$K128:$AU128,1))=37),"EXCLUDE","ok"))</f>
        <v/>
      </c>
      <c r="G131" s="55">
        <f>IF('04_DATA'!A128="","",IF('04_DATA'!D128&lt;PERCENTILE('04_DATA'!$D$2:$D$1001,0.05),"FLAG","ok"))</f>
        <v/>
      </c>
      <c r="H131" s="55">
        <f>IF('04_DATA'!A128="","",IF(OR(C131="EXCLUDE",F131="EXCLUDE"),"Exclude under pre-specified rule",IF(E131&gt;0.15,"Exclude: &gt;15% missing",IF(G131="FLAG","Retain; test in robustness battery","Retain"))))</f>
        <v/>
      </c>
    </row>
    <row r="132">
      <c r="A132" s="55" t="n">
        <v>129</v>
      </c>
      <c r="B132" s="55">
        <f>IF('04_DATA'!A129="","",'04_DATA'!A129)</f>
        <v/>
      </c>
      <c r="C132" s="55">
        <f>IF('04_DATA'!A129="","",IF(AND('04_DATA'!G129=1,'04_DATA'!H129=1,'04_DATA'!I129&gt;=3),"eligible","EXCLUDE"))</f>
        <v/>
      </c>
      <c r="D132" s="55">
        <f>IF('04_DATA'!A129="","",37-COUNT('04_DATA'!$K129:$AU129))</f>
        <v/>
      </c>
      <c r="E132" s="63">
        <f>IF('04_DATA'!A129="","",(37-COUNT('04_DATA'!$K129:$AU129))/37)</f>
        <v/>
      </c>
      <c r="F132" s="55">
        <f>IF('04_DATA'!A129="","",IF(AND(COUNT('04_DATA'!$K129:$AU129)=37,COUNTIF('04_DATA'!$K129:$AU129,INDEX('04_DATA'!$K129:$AU129,1))=37),"EXCLUDE","ok"))</f>
        <v/>
      </c>
      <c r="G132" s="55">
        <f>IF('04_DATA'!A129="","",IF('04_DATA'!D129&lt;PERCENTILE('04_DATA'!$D$2:$D$1001,0.05),"FLAG","ok"))</f>
        <v/>
      </c>
      <c r="H132" s="55">
        <f>IF('04_DATA'!A129="","",IF(OR(C132="EXCLUDE",F132="EXCLUDE"),"Exclude under pre-specified rule",IF(E132&gt;0.15,"Exclude: &gt;15% missing",IF(G132="FLAG","Retain; test in robustness battery","Retain"))))</f>
        <v/>
      </c>
    </row>
    <row r="133">
      <c r="A133" s="55" t="n">
        <v>130</v>
      </c>
      <c r="B133" s="55">
        <f>IF('04_DATA'!A130="","",'04_DATA'!A130)</f>
        <v/>
      </c>
      <c r="C133" s="55">
        <f>IF('04_DATA'!A130="","",IF(AND('04_DATA'!G130=1,'04_DATA'!H130=1,'04_DATA'!I130&gt;=3),"eligible","EXCLUDE"))</f>
        <v/>
      </c>
      <c r="D133" s="55">
        <f>IF('04_DATA'!A130="","",37-COUNT('04_DATA'!$K130:$AU130))</f>
        <v/>
      </c>
      <c r="E133" s="63">
        <f>IF('04_DATA'!A130="","",(37-COUNT('04_DATA'!$K130:$AU130))/37)</f>
        <v/>
      </c>
      <c r="F133" s="55">
        <f>IF('04_DATA'!A130="","",IF(AND(COUNT('04_DATA'!$K130:$AU130)=37,COUNTIF('04_DATA'!$K130:$AU130,INDEX('04_DATA'!$K130:$AU130,1))=37),"EXCLUDE","ok"))</f>
        <v/>
      </c>
      <c r="G133" s="55">
        <f>IF('04_DATA'!A130="","",IF('04_DATA'!D130&lt;PERCENTILE('04_DATA'!$D$2:$D$1001,0.05),"FLAG","ok"))</f>
        <v/>
      </c>
      <c r="H133" s="55">
        <f>IF('04_DATA'!A130="","",IF(OR(C133="EXCLUDE",F133="EXCLUDE"),"Exclude under pre-specified rule",IF(E133&gt;0.15,"Exclude: &gt;15% missing",IF(G133="FLAG","Retain; test in robustness battery","Retain"))))</f>
        <v/>
      </c>
    </row>
    <row r="134">
      <c r="A134" s="55" t="n">
        <v>131</v>
      </c>
      <c r="B134" s="55">
        <f>IF('04_DATA'!A131="","",'04_DATA'!A131)</f>
        <v/>
      </c>
      <c r="C134" s="55">
        <f>IF('04_DATA'!A131="","",IF(AND('04_DATA'!G131=1,'04_DATA'!H131=1,'04_DATA'!I131&gt;=3),"eligible","EXCLUDE"))</f>
        <v/>
      </c>
      <c r="D134" s="55">
        <f>IF('04_DATA'!A131="","",37-COUNT('04_DATA'!$K131:$AU131))</f>
        <v/>
      </c>
      <c r="E134" s="63">
        <f>IF('04_DATA'!A131="","",(37-COUNT('04_DATA'!$K131:$AU131))/37)</f>
        <v/>
      </c>
      <c r="F134" s="55">
        <f>IF('04_DATA'!A131="","",IF(AND(COUNT('04_DATA'!$K131:$AU131)=37,COUNTIF('04_DATA'!$K131:$AU131,INDEX('04_DATA'!$K131:$AU131,1))=37),"EXCLUDE","ok"))</f>
        <v/>
      </c>
      <c r="G134" s="55">
        <f>IF('04_DATA'!A131="","",IF('04_DATA'!D131&lt;PERCENTILE('04_DATA'!$D$2:$D$1001,0.05),"FLAG","ok"))</f>
        <v/>
      </c>
      <c r="H134" s="55">
        <f>IF('04_DATA'!A131="","",IF(OR(C134="EXCLUDE",F134="EXCLUDE"),"Exclude under pre-specified rule",IF(E134&gt;0.15,"Exclude: &gt;15% missing",IF(G134="FLAG","Retain; test in robustness battery","Retain"))))</f>
        <v/>
      </c>
    </row>
    <row r="135">
      <c r="A135" s="55" t="n">
        <v>132</v>
      </c>
      <c r="B135" s="55">
        <f>IF('04_DATA'!A132="","",'04_DATA'!A132)</f>
        <v/>
      </c>
      <c r="C135" s="55">
        <f>IF('04_DATA'!A132="","",IF(AND('04_DATA'!G132=1,'04_DATA'!H132=1,'04_DATA'!I132&gt;=3),"eligible","EXCLUDE"))</f>
        <v/>
      </c>
      <c r="D135" s="55">
        <f>IF('04_DATA'!A132="","",37-COUNT('04_DATA'!$K132:$AU132))</f>
        <v/>
      </c>
      <c r="E135" s="63">
        <f>IF('04_DATA'!A132="","",(37-COUNT('04_DATA'!$K132:$AU132))/37)</f>
        <v/>
      </c>
      <c r="F135" s="55">
        <f>IF('04_DATA'!A132="","",IF(AND(COUNT('04_DATA'!$K132:$AU132)=37,COUNTIF('04_DATA'!$K132:$AU132,INDEX('04_DATA'!$K132:$AU132,1))=37),"EXCLUDE","ok"))</f>
        <v/>
      </c>
      <c r="G135" s="55">
        <f>IF('04_DATA'!A132="","",IF('04_DATA'!D132&lt;PERCENTILE('04_DATA'!$D$2:$D$1001,0.05),"FLAG","ok"))</f>
        <v/>
      </c>
      <c r="H135" s="55">
        <f>IF('04_DATA'!A132="","",IF(OR(C135="EXCLUDE",F135="EXCLUDE"),"Exclude under pre-specified rule",IF(E135&gt;0.15,"Exclude: &gt;15% missing",IF(G135="FLAG","Retain; test in robustness battery","Retain"))))</f>
        <v/>
      </c>
    </row>
    <row r="136">
      <c r="A136" s="55" t="n">
        <v>133</v>
      </c>
      <c r="B136" s="55">
        <f>IF('04_DATA'!A133="","",'04_DATA'!A133)</f>
        <v/>
      </c>
      <c r="C136" s="55">
        <f>IF('04_DATA'!A133="","",IF(AND('04_DATA'!G133=1,'04_DATA'!H133=1,'04_DATA'!I133&gt;=3),"eligible","EXCLUDE"))</f>
        <v/>
      </c>
      <c r="D136" s="55">
        <f>IF('04_DATA'!A133="","",37-COUNT('04_DATA'!$K133:$AU133))</f>
        <v/>
      </c>
      <c r="E136" s="63">
        <f>IF('04_DATA'!A133="","",(37-COUNT('04_DATA'!$K133:$AU133))/37)</f>
        <v/>
      </c>
      <c r="F136" s="55">
        <f>IF('04_DATA'!A133="","",IF(AND(COUNT('04_DATA'!$K133:$AU133)=37,COUNTIF('04_DATA'!$K133:$AU133,INDEX('04_DATA'!$K133:$AU133,1))=37),"EXCLUDE","ok"))</f>
        <v/>
      </c>
      <c r="G136" s="55">
        <f>IF('04_DATA'!A133="","",IF('04_DATA'!D133&lt;PERCENTILE('04_DATA'!$D$2:$D$1001,0.05),"FLAG","ok"))</f>
        <v/>
      </c>
      <c r="H136" s="55">
        <f>IF('04_DATA'!A133="","",IF(OR(C136="EXCLUDE",F136="EXCLUDE"),"Exclude under pre-specified rule",IF(E136&gt;0.15,"Exclude: &gt;15% missing",IF(G136="FLAG","Retain; test in robustness battery","Retain"))))</f>
        <v/>
      </c>
    </row>
    <row r="137">
      <c r="A137" s="55" t="n">
        <v>134</v>
      </c>
      <c r="B137" s="55">
        <f>IF('04_DATA'!A134="","",'04_DATA'!A134)</f>
        <v/>
      </c>
      <c r="C137" s="55">
        <f>IF('04_DATA'!A134="","",IF(AND('04_DATA'!G134=1,'04_DATA'!H134=1,'04_DATA'!I134&gt;=3),"eligible","EXCLUDE"))</f>
        <v/>
      </c>
      <c r="D137" s="55">
        <f>IF('04_DATA'!A134="","",37-COUNT('04_DATA'!$K134:$AU134))</f>
        <v/>
      </c>
      <c r="E137" s="63">
        <f>IF('04_DATA'!A134="","",(37-COUNT('04_DATA'!$K134:$AU134))/37)</f>
        <v/>
      </c>
      <c r="F137" s="55">
        <f>IF('04_DATA'!A134="","",IF(AND(COUNT('04_DATA'!$K134:$AU134)=37,COUNTIF('04_DATA'!$K134:$AU134,INDEX('04_DATA'!$K134:$AU134,1))=37),"EXCLUDE","ok"))</f>
        <v/>
      </c>
      <c r="G137" s="55">
        <f>IF('04_DATA'!A134="","",IF('04_DATA'!D134&lt;PERCENTILE('04_DATA'!$D$2:$D$1001,0.05),"FLAG","ok"))</f>
        <v/>
      </c>
      <c r="H137" s="55">
        <f>IF('04_DATA'!A134="","",IF(OR(C137="EXCLUDE",F137="EXCLUDE"),"Exclude under pre-specified rule",IF(E137&gt;0.15,"Exclude: &gt;15% missing",IF(G137="FLAG","Retain; test in robustness battery","Retain"))))</f>
        <v/>
      </c>
    </row>
    <row r="138">
      <c r="A138" s="55" t="n">
        <v>135</v>
      </c>
      <c r="B138" s="55">
        <f>IF('04_DATA'!A135="","",'04_DATA'!A135)</f>
        <v/>
      </c>
      <c r="C138" s="55">
        <f>IF('04_DATA'!A135="","",IF(AND('04_DATA'!G135=1,'04_DATA'!H135=1,'04_DATA'!I135&gt;=3),"eligible","EXCLUDE"))</f>
        <v/>
      </c>
      <c r="D138" s="55">
        <f>IF('04_DATA'!A135="","",37-COUNT('04_DATA'!$K135:$AU135))</f>
        <v/>
      </c>
      <c r="E138" s="63">
        <f>IF('04_DATA'!A135="","",(37-COUNT('04_DATA'!$K135:$AU135))/37)</f>
        <v/>
      </c>
      <c r="F138" s="55">
        <f>IF('04_DATA'!A135="","",IF(AND(COUNT('04_DATA'!$K135:$AU135)=37,COUNTIF('04_DATA'!$K135:$AU135,INDEX('04_DATA'!$K135:$AU135,1))=37),"EXCLUDE","ok"))</f>
        <v/>
      </c>
      <c r="G138" s="55">
        <f>IF('04_DATA'!A135="","",IF('04_DATA'!D135&lt;PERCENTILE('04_DATA'!$D$2:$D$1001,0.05),"FLAG","ok"))</f>
        <v/>
      </c>
      <c r="H138" s="55">
        <f>IF('04_DATA'!A135="","",IF(OR(C138="EXCLUDE",F138="EXCLUDE"),"Exclude under pre-specified rule",IF(E138&gt;0.15,"Exclude: &gt;15% missing",IF(G138="FLAG","Retain; test in robustness battery","Retain"))))</f>
        <v/>
      </c>
    </row>
    <row r="139">
      <c r="A139" s="55" t="n">
        <v>136</v>
      </c>
      <c r="B139" s="55">
        <f>IF('04_DATA'!A136="","",'04_DATA'!A136)</f>
        <v/>
      </c>
      <c r="C139" s="55">
        <f>IF('04_DATA'!A136="","",IF(AND('04_DATA'!G136=1,'04_DATA'!H136=1,'04_DATA'!I136&gt;=3),"eligible","EXCLUDE"))</f>
        <v/>
      </c>
      <c r="D139" s="55">
        <f>IF('04_DATA'!A136="","",37-COUNT('04_DATA'!$K136:$AU136))</f>
        <v/>
      </c>
      <c r="E139" s="63">
        <f>IF('04_DATA'!A136="","",(37-COUNT('04_DATA'!$K136:$AU136))/37)</f>
        <v/>
      </c>
      <c r="F139" s="55">
        <f>IF('04_DATA'!A136="","",IF(AND(COUNT('04_DATA'!$K136:$AU136)=37,COUNTIF('04_DATA'!$K136:$AU136,INDEX('04_DATA'!$K136:$AU136,1))=37),"EXCLUDE","ok"))</f>
        <v/>
      </c>
      <c r="G139" s="55">
        <f>IF('04_DATA'!A136="","",IF('04_DATA'!D136&lt;PERCENTILE('04_DATA'!$D$2:$D$1001,0.05),"FLAG","ok"))</f>
        <v/>
      </c>
      <c r="H139" s="55">
        <f>IF('04_DATA'!A136="","",IF(OR(C139="EXCLUDE",F139="EXCLUDE"),"Exclude under pre-specified rule",IF(E139&gt;0.15,"Exclude: &gt;15% missing",IF(G139="FLAG","Retain; test in robustness battery","Retain"))))</f>
        <v/>
      </c>
    </row>
    <row r="140">
      <c r="A140" s="55" t="n">
        <v>137</v>
      </c>
      <c r="B140" s="55">
        <f>IF('04_DATA'!A137="","",'04_DATA'!A137)</f>
        <v/>
      </c>
      <c r="C140" s="55">
        <f>IF('04_DATA'!A137="","",IF(AND('04_DATA'!G137=1,'04_DATA'!H137=1,'04_DATA'!I137&gt;=3),"eligible","EXCLUDE"))</f>
        <v/>
      </c>
      <c r="D140" s="55">
        <f>IF('04_DATA'!A137="","",37-COUNT('04_DATA'!$K137:$AU137))</f>
        <v/>
      </c>
      <c r="E140" s="63">
        <f>IF('04_DATA'!A137="","",(37-COUNT('04_DATA'!$K137:$AU137))/37)</f>
        <v/>
      </c>
      <c r="F140" s="55">
        <f>IF('04_DATA'!A137="","",IF(AND(COUNT('04_DATA'!$K137:$AU137)=37,COUNTIF('04_DATA'!$K137:$AU137,INDEX('04_DATA'!$K137:$AU137,1))=37),"EXCLUDE","ok"))</f>
        <v/>
      </c>
      <c r="G140" s="55">
        <f>IF('04_DATA'!A137="","",IF('04_DATA'!D137&lt;PERCENTILE('04_DATA'!$D$2:$D$1001,0.05),"FLAG","ok"))</f>
        <v/>
      </c>
      <c r="H140" s="55">
        <f>IF('04_DATA'!A137="","",IF(OR(C140="EXCLUDE",F140="EXCLUDE"),"Exclude under pre-specified rule",IF(E140&gt;0.15,"Exclude: &gt;15% missing",IF(G140="FLAG","Retain; test in robustness battery","Retain"))))</f>
        <v/>
      </c>
    </row>
    <row r="141">
      <c r="A141" s="55" t="n">
        <v>138</v>
      </c>
      <c r="B141" s="55">
        <f>IF('04_DATA'!A138="","",'04_DATA'!A138)</f>
        <v/>
      </c>
      <c r="C141" s="55">
        <f>IF('04_DATA'!A138="","",IF(AND('04_DATA'!G138=1,'04_DATA'!H138=1,'04_DATA'!I138&gt;=3),"eligible","EXCLUDE"))</f>
        <v/>
      </c>
      <c r="D141" s="55">
        <f>IF('04_DATA'!A138="","",37-COUNT('04_DATA'!$K138:$AU138))</f>
        <v/>
      </c>
      <c r="E141" s="63">
        <f>IF('04_DATA'!A138="","",(37-COUNT('04_DATA'!$K138:$AU138))/37)</f>
        <v/>
      </c>
      <c r="F141" s="55">
        <f>IF('04_DATA'!A138="","",IF(AND(COUNT('04_DATA'!$K138:$AU138)=37,COUNTIF('04_DATA'!$K138:$AU138,INDEX('04_DATA'!$K138:$AU138,1))=37),"EXCLUDE","ok"))</f>
        <v/>
      </c>
      <c r="G141" s="55">
        <f>IF('04_DATA'!A138="","",IF('04_DATA'!D138&lt;PERCENTILE('04_DATA'!$D$2:$D$1001,0.05),"FLAG","ok"))</f>
        <v/>
      </c>
      <c r="H141" s="55">
        <f>IF('04_DATA'!A138="","",IF(OR(C141="EXCLUDE",F141="EXCLUDE"),"Exclude under pre-specified rule",IF(E141&gt;0.15,"Exclude: &gt;15% missing",IF(G141="FLAG","Retain; test in robustness battery","Retain"))))</f>
        <v/>
      </c>
    </row>
    <row r="142">
      <c r="A142" s="55" t="n">
        <v>139</v>
      </c>
      <c r="B142" s="55">
        <f>IF('04_DATA'!A139="","",'04_DATA'!A139)</f>
        <v/>
      </c>
      <c r="C142" s="55">
        <f>IF('04_DATA'!A139="","",IF(AND('04_DATA'!G139=1,'04_DATA'!H139=1,'04_DATA'!I139&gt;=3),"eligible","EXCLUDE"))</f>
        <v/>
      </c>
      <c r="D142" s="55">
        <f>IF('04_DATA'!A139="","",37-COUNT('04_DATA'!$K139:$AU139))</f>
        <v/>
      </c>
      <c r="E142" s="63">
        <f>IF('04_DATA'!A139="","",(37-COUNT('04_DATA'!$K139:$AU139))/37)</f>
        <v/>
      </c>
      <c r="F142" s="55">
        <f>IF('04_DATA'!A139="","",IF(AND(COUNT('04_DATA'!$K139:$AU139)=37,COUNTIF('04_DATA'!$K139:$AU139,INDEX('04_DATA'!$K139:$AU139,1))=37),"EXCLUDE","ok"))</f>
        <v/>
      </c>
      <c r="G142" s="55">
        <f>IF('04_DATA'!A139="","",IF('04_DATA'!D139&lt;PERCENTILE('04_DATA'!$D$2:$D$1001,0.05),"FLAG","ok"))</f>
        <v/>
      </c>
      <c r="H142" s="55">
        <f>IF('04_DATA'!A139="","",IF(OR(C142="EXCLUDE",F142="EXCLUDE"),"Exclude under pre-specified rule",IF(E142&gt;0.15,"Exclude: &gt;15% missing",IF(G142="FLAG","Retain; test in robustness battery","Retain"))))</f>
        <v/>
      </c>
    </row>
    <row r="143">
      <c r="A143" s="55" t="n">
        <v>140</v>
      </c>
      <c r="B143" s="55">
        <f>IF('04_DATA'!A140="","",'04_DATA'!A140)</f>
        <v/>
      </c>
      <c r="C143" s="55">
        <f>IF('04_DATA'!A140="","",IF(AND('04_DATA'!G140=1,'04_DATA'!H140=1,'04_DATA'!I140&gt;=3),"eligible","EXCLUDE"))</f>
        <v/>
      </c>
      <c r="D143" s="55">
        <f>IF('04_DATA'!A140="","",37-COUNT('04_DATA'!$K140:$AU140))</f>
        <v/>
      </c>
      <c r="E143" s="63">
        <f>IF('04_DATA'!A140="","",(37-COUNT('04_DATA'!$K140:$AU140))/37)</f>
        <v/>
      </c>
      <c r="F143" s="55">
        <f>IF('04_DATA'!A140="","",IF(AND(COUNT('04_DATA'!$K140:$AU140)=37,COUNTIF('04_DATA'!$K140:$AU140,INDEX('04_DATA'!$K140:$AU140,1))=37),"EXCLUDE","ok"))</f>
        <v/>
      </c>
      <c r="G143" s="55">
        <f>IF('04_DATA'!A140="","",IF('04_DATA'!D140&lt;PERCENTILE('04_DATA'!$D$2:$D$1001,0.05),"FLAG","ok"))</f>
        <v/>
      </c>
      <c r="H143" s="55">
        <f>IF('04_DATA'!A140="","",IF(OR(C143="EXCLUDE",F143="EXCLUDE"),"Exclude under pre-specified rule",IF(E143&gt;0.15,"Exclude: &gt;15% missing",IF(G143="FLAG","Retain; test in robustness battery","Retain"))))</f>
        <v/>
      </c>
    </row>
    <row r="144">
      <c r="A144" s="55" t="n">
        <v>141</v>
      </c>
      <c r="B144" s="55">
        <f>IF('04_DATA'!A141="","",'04_DATA'!A141)</f>
        <v/>
      </c>
      <c r="C144" s="55">
        <f>IF('04_DATA'!A141="","",IF(AND('04_DATA'!G141=1,'04_DATA'!H141=1,'04_DATA'!I141&gt;=3),"eligible","EXCLUDE"))</f>
        <v/>
      </c>
      <c r="D144" s="55">
        <f>IF('04_DATA'!A141="","",37-COUNT('04_DATA'!$K141:$AU141))</f>
        <v/>
      </c>
      <c r="E144" s="63">
        <f>IF('04_DATA'!A141="","",(37-COUNT('04_DATA'!$K141:$AU141))/37)</f>
        <v/>
      </c>
      <c r="F144" s="55">
        <f>IF('04_DATA'!A141="","",IF(AND(COUNT('04_DATA'!$K141:$AU141)=37,COUNTIF('04_DATA'!$K141:$AU141,INDEX('04_DATA'!$K141:$AU141,1))=37),"EXCLUDE","ok"))</f>
        <v/>
      </c>
      <c r="G144" s="55">
        <f>IF('04_DATA'!A141="","",IF('04_DATA'!D141&lt;PERCENTILE('04_DATA'!$D$2:$D$1001,0.05),"FLAG","ok"))</f>
        <v/>
      </c>
      <c r="H144" s="55">
        <f>IF('04_DATA'!A141="","",IF(OR(C144="EXCLUDE",F144="EXCLUDE"),"Exclude under pre-specified rule",IF(E144&gt;0.15,"Exclude: &gt;15% missing",IF(G144="FLAG","Retain; test in robustness battery","Retain"))))</f>
        <v/>
      </c>
    </row>
    <row r="145">
      <c r="A145" s="55" t="n">
        <v>142</v>
      </c>
      <c r="B145" s="55">
        <f>IF('04_DATA'!A142="","",'04_DATA'!A142)</f>
        <v/>
      </c>
      <c r="C145" s="55">
        <f>IF('04_DATA'!A142="","",IF(AND('04_DATA'!G142=1,'04_DATA'!H142=1,'04_DATA'!I142&gt;=3),"eligible","EXCLUDE"))</f>
        <v/>
      </c>
      <c r="D145" s="55">
        <f>IF('04_DATA'!A142="","",37-COUNT('04_DATA'!$K142:$AU142))</f>
        <v/>
      </c>
      <c r="E145" s="63">
        <f>IF('04_DATA'!A142="","",(37-COUNT('04_DATA'!$K142:$AU142))/37)</f>
        <v/>
      </c>
      <c r="F145" s="55">
        <f>IF('04_DATA'!A142="","",IF(AND(COUNT('04_DATA'!$K142:$AU142)=37,COUNTIF('04_DATA'!$K142:$AU142,INDEX('04_DATA'!$K142:$AU142,1))=37),"EXCLUDE","ok"))</f>
        <v/>
      </c>
      <c r="G145" s="55">
        <f>IF('04_DATA'!A142="","",IF('04_DATA'!D142&lt;PERCENTILE('04_DATA'!$D$2:$D$1001,0.05),"FLAG","ok"))</f>
        <v/>
      </c>
      <c r="H145" s="55">
        <f>IF('04_DATA'!A142="","",IF(OR(C145="EXCLUDE",F145="EXCLUDE"),"Exclude under pre-specified rule",IF(E145&gt;0.15,"Exclude: &gt;15% missing",IF(G145="FLAG","Retain; test in robustness battery","Retain"))))</f>
        <v/>
      </c>
    </row>
    <row r="146">
      <c r="A146" s="55" t="n">
        <v>143</v>
      </c>
      <c r="B146" s="55">
        <f>IF('04_DATA'!A143="","",'04_DATA'!A143)</f>
        <v/>
      </c>
      <c r="C146" s="55">
        <f>IF('04_DATA'!A143="","",IF(AND('04_DATA'!G143=1,'04_DATA'!H143=1,'04_DATA'!I143&gt;=3),"eligible","EXCLUDE"))</f>
        <v/>
      </c>
      <c r="D146" s="55">
        <f>IF('04_DATA'!A143="","",37-COUNT('04_DATA'!$K143:$AU143))</f>
        <v/>
      </c>
      <c r="E146" s="63">
        <f>IF('04_DATA'!A143="","",(37-COUNT('04_DATA'!$K143:$AU143))/37)</f>
        <v/>
      </c>
      <c r="F146" s="55">
        <f>IF('04_DATA'!A143="","",IF(AND(COUNT('04_DATA'!$K143:$AU143)=37,COUNTIF('04_DATA'!$K143:$AU143,INDEX('04_DATA'!$K143:$AU143,1))=37),"EXCLUDE","ok"))</f>
        <v/>
      </c>
      <c r="G146" s="55">
        <f>IF('04_DATA'!A143="","",IF('04_DATA'!D143&lt;PERCENTILE('04_DATA'!$D$2:$D$1001,0.05),"FLAG","ok"))</f>
        <v/>
      </c>
      <c r="H146" s="55">
        <f>IF('04_DATA'!A143="","",IF(OR(C146="EXCLUDE",F146="EXCLUDE"),"Exclude under pre-specified rule",IF(E146&gt;0.15,"Exclude: &gt;15% missing",IF(G146="FLAG","Retain; test in robustness battery","Retain"))))</f>
        <v/>
      </c>
    </row>
    <row r="147">
      <c r="A147" s="55" t="n">
        <v>144</v>
      </c>
      <c r="B147" s="55">
        <f>IF('04_DATA'!A144="","",'04_DATA'!A144)</f>
        <v/>
      </c>
      <c r="C147" s="55">
        <f>IF('04_DATA'!A144="","",IF(AND('04_DATA'!G144=1,'04_DATA'!H144=1,'04_DATA'!I144&gt;=3),"eligible","EXCLUDE"))</f>
        <v/>
      </c>
      <c r="D147" s="55">
        <f>IF('04_DATA'!A144="","",37-COUNT('04_DATA'!$K144:$AU144))</f>
        <v/>
      </c>
      <c r="E147" s="63">
        <f>IF('04_DATA'!A144="","",(37-COUNT('04_DATA'!$K144:$AU144))/37)</f>
        <v/>
      </c>
      <c r="F147" s="55">
        <f>IF('04_DATA'!A144="","",IF(AND(COUNT('04_DATA'!$K144:$AU144)=37,COUNTIF('04_DATA'!$K144:$AU144,INDEX('04_DATA'!$K144:$AU144,1))=37),"EXCLUDE","ok"))</f>
        <v/>
      </c>
      <c r="G147" s="55">
        <f>IF('04_DATA'!A144="","",IF('04_DATA'!D144&lt;PERCENTILE('04_DATA'!$D$2:$D$1001,0.05),"FLAG","ok"))</f>
        <v/>
      </c>
      <c r="H147" s="55">
        <f>IF('04_DATA'!A144="","",IF(OR(C147="EXCLUDE",F147="EXCLUDE"),"Exclude under pre-specified rule",IF(E147&gt;0.15,"Exclude: &gt;15% missing",IF(G147="FLAG","Retain; test in robustness battery","Retain"))))</f>
        <v/>
      </c>
    </row>
    <row r="148">
      <c r="A148" s="55" t="n">
        <v>145</v>
      </c>
      <c r="B148" s="55">
        <f>IF('04_DATA'!A145="","",'04_DATA'!A145)</f>
        <v/>
      </c>
      <c r="C148" s="55">
        <f>IF('04_DATA'!A145="","",IF(AND('04_DATA'!G145=1,'04_DATA'!H145=1,'04_DATA'!I145&gt;=3),"eligible","EXCLUDE"))</f>
        <v/>
      </c>
      <c r="D148" s="55">
        <f>IF('04_DATA'!A145="","",37-COUNT('04_DATA'!$K145:$AU145))</f>
        <v/>
      </c>
      <c r="E148" s="63">
        <f>IF('04_DATA'!A145="","",(37-COUNT('04_DATA'!$K145:$AU145))/37)</f>
        <v/>
      </c>
      <c r="F148" s="55">
        <f>IF('04_DATA'!A145="","",IF(AND(COUNT('04_DATA'!$K145:$AU145)=37,COUNTIF('04_DATA'!$K145:$AU145,INDEX('04_DATA'!$K145:$AU145,1))=37),"EXCLUDE","ok"))</f>
        <v/>
      </c>
      <c r="G148" s="55">
        <f>IF('04_DATA'!A145="","",IF('04_DATA'!D145&lt;PERCENTILE('04_DATA'!$D$2:$D$1001,0.05),"FLAG","ok"))</f>
        <v/>
      </c>
      <c r="H148" s="55">
        <f>IF('04_DATA'!A145="","",IF(OR(C148="EXCLUDE",F148="EXCLUDE"),"Exclude under pre-specified rule",IF(E148&gt;0.15,"Exclude: &gt;15% missing",IF(G148="FLAG","Retain; test in robustness battery","Retain"))))</f>
        <v/>
      </c>
    </row>
    <row r="149">
      <c r="A149" s="55" t="n">
        <v>146</v>
      </c>
      <c r="B149" s="55">
        <f>IF('04_DATA'!A146="","",'04_DATA'!A146)</f>
        <v/>
      </c>
      <c r="C149" s="55">
        <f>IF('04_DATA'!A146="","",IF(AND('04_DATA'!G146=1,'04_DATA'!H146=1,'04_DATA'!I146&gt;=3),"eligible","EXCLUDE"))</f>
        <v/>
      </c>
      <c r="D149" s="55">
        <f>IF('04_DATA'!A146="","",37-COUNT('04_DATA'!$K146:$AU146))</f>
        <v/>
      </c>
      <c r="E149" s="63">
        <f>IF('04_DATA'!A146="","",(37-COUNT('04_DATA'!$K146:$AU146))/37)</f>
        <v/>
      </c>
      <c r="F149" s="55">
        <f>IF('04_DATA'!A146="","",IF(AND(COUNT('04_DATA'!$K146:$AU146)=37,COUNTIF('04_DATA'!$K146:$AU146,INDEX('04_DATA'!$K146:$AU146,1))=37),"EXCLUDE","ok"))</f>
        <v/>
      </c>
      <c r="G149" s="55">
        <f>IF('04_DATA'!A146="","",IF('04_DATA'!D146&lt;PERCENTILE('04_DATA'!$D$2:$D$1001,0.05),"FLAG","ok"))</f>
        <v/>
      </c>
      <c r="H149" s="55">
        <f>IF('04_DATA'!A146="","",IF(OR(C149="EXCLUDE",F149="EXCLUDE"),"Exclude under pre-specified rule",IF(E149&gt;0.15,"Exclude: &gt;15% missing",IF(G149="FLAG","Retain; test in robustness battery","Retain"))))</f>
        <v/>
      </c>
    </row>
    <row r="150">
      <c r="A150" s="55" t="n">
        <v>147</v>
      </c>
      <c r="B150" s="55">
        <f>IF('04_DATA'!A147="","",'04_DATA'!A147)</f>
        <v/>
      </c>
      <c r="C150" s="55">
        <f>IF('04_DATA'!A147="","",IF(AND('04_DATA'!G147=1,'04_DATA'!H147=1,'04_DATA'!I147&gt;=3),"eligible","EXCLUDE"))</f>
        <v/>
      </c>
      <c r="D150" s="55">
        <f>IF('04_DATA'!A147="","",37-COUNT('04_DATA'!$K147:$AU147))</f>
        <v/>
      </c>
      <c r="E150" s="63">
        <f>IF('04_DATA'!A147="","",(37-COUNT('04_DATA'!$K147:$AU147))/37)</f>
        <v/>
      </c>
      <c r="F150" s="55">
        <f>IF('04_DATA'!A147="","",IF(AND(COUNT('04_DATA'!$K147:$AU147)=37,COUNTIF('04_DATA'!$K147:$AU147,INDEX('04_DATA'!$K147:$AU147,1))=37),"EXCLUDE","ok"))</f>
        <v/>
      </c>
      <c r="G150" s="55">
        <f>IF('04_DATA'!A147="","",IF('04_DATA'!D147&lt;PERCENTILE('04_DATA'!$D$2:$D$1001,0.05),"FLAG","ok"))</f>
        <v/>
      </c>
      <c r="H150" s="55">
        <f>IF('04_DATA'!A147="","",IF(OR(C150="EXCLUDE",F150="EXCLUDE"),"Exclude under pre-specified rule",IF(E150&gt;0.15,"Exclude: &gt;15% missing",IF(G150="FLAG","Retain; test in robustness battery","Retain"))))</f>
        <v/>
      </c>
    </row>
    <row r="151">
      <c r="A151" s="55" t="n">
        <v>148</v>
      </c>
      <c r="B151" s="55">
        <f>IF('04_DATA'!A148="","",'04_DATA'!A148)</f>
        <v/>
      </c>
      <c r="C151" s="55">
        <f>IF('04_DATA'!A148="","",IF(AND('04_DATA'!G148=1,'04_DATA'!H148=1,'04_DATA'!I148&gt;=3),"eligible","EXCLUDE"))</f>
        <v/>
      </c>
      <c r="D151" s="55">
        <f>IF('04_DATA'!A148="","",37-COUNT('04_DATA'!$K148:$AU148))</f>
        <v/>
      </c>
      <c r="E151" s="63">
        <f>IF('04_DATA'!A148="","",(37-COUNT('04_DATA'!$K148:$AU148))/37)</f>
        <v/>
      </c>
      <c r="F151" s="55">
        <f>IF('04_DATA'!A148="","",IF(AND(COUNT('04_DATA'!$K148:$AU148)=37,COUNTIF('04_DATA'!$K148:$AU148,INDEX('04_DATA'!$K148:$AU148,1))=37),"EXCLUDE","ok"))</f>
        <v/>
      </c>
      <c r="G151" s="55">
        <f>IF('04_DATA'!A148="","",IF('04_DATA'!D148&lt;PERCENTILE('04_DATA'!$D$2:$D$1001,0.05),"FLAG","ok"))</f>
        <v/>
      </c>
      <c r="H151" s="55">
        <f>IF('04_DATA'!A148="","",IF(OR(C151="EXCLUDE",F151="EXCLUDE"),"Exclude under pre-specified rule",IF(E151&gt;0.15,"Exclude: &gt;15% missing",IF(G151="FLAG","Retain; test in robustness battery","Retain"))))</f>
        <v/>
      </c>
    </row>
    <row r="152">
      <c r="A152" s="55" t="n">
        <v>149</v>
      </c>
      <c r="B152" s="55">
        <f>IF('04_DATA'!A149="","",'04_DATA'!A149)</f>
        <v/>
      </c>
      <c r="C152" s="55">
        <f>IF('04_DATA'!A149="","",IF(AND('04_DATA'!G149=1,'04_DATA'!H149=1,'04_DATA'!I149&gt;=3),"eligible","EXCLUDE"))</f>
        <v/>
      </c>
      <c r="D152" s="55">
        <f>IF('04_DATA'!A149="","",37-COUNT('04_DATA'!$K149:$AU149))</f>
        <v/>
      </c>
      <c r="E152" s="63">
        <f>IF('04_DATA'!A149="","",(37-COUNT('04_DATA'!$K149:$AU149))/37)</f>
        <v/>
      </c>
      <c r="F152" s="55">
        <f>IF('04_DATA'!A149="","",IF(AND(COUNT('04_DATA'!$K149:$AU149)=37,COUNTIF('04_DATA'!$K149:$AU149,INDEX('04_DATA'!$K149:$AU149,1))=37),"EXCLUDE","ok"))</f>
        <v/>
      </c>
      <c r="G152" s="55">
        <f>IF('04_DATA'!A149="","",IF('04_DATA'!D149&lt;PERCENTILE('04_DATA'!$D$2:$D$1001,0.05),"FLAG","ok"))</f>
        <v/>
      </c>
      <c r="H152" s="55">
        <f>IF('04_DATA'!A149="","",IF(OR(C152="EXCLUDE",F152="EXCLUDE"),"Exclude under pre-specified rule",IF(E152&gt;0.15,"Exclude: &gt;15% missing",IF(G152="FLAG","Retain; test in robustness battery","Retain"))))</f>
        <v/>
      </c>
    </row>
    <row r="153">
      <c r="A153" s="55" t="n">
        <v>150</v>
      </c>
      <c r="B153" s="55">
        <f>IF('04_DATA'!A150="","",'04_DATA'!A150)</f>
        <v/>
      </c>
      <c r="C153" s="55">
        <f>IF('04_DATA'!A150="","",IF(AND('04_DATA'!G150=1,'04_DATA'!H150=1,'04_DATA'!I150&gt;=3),"eligible","EXCLUDE"))</f>
        <v/>
      </c>
      <c r="D153" s="55">
        <f>IF('04_DATA'!A150="","",37-COUNT('04_DATA'!$K150:$AU150))</f>
        <v/>
      </c>
      <c r="E153" s="63">
        <f>IF('04_DATA'!A150="","",(37-COUNT('04_DATA'!$K150:$AU150))/37)</f>
        <v/>
      </c>
      <c r="F153" s="55">
        <f>IF('04_DATA'!A150="","",IF(AND(COUNT('04_DATA'!$K150:$AU150)=37,COUNTIF('04_DATA'!$K150:$AU150,INDEX('04_DATA'!$K150:$AU150,1))=37),"EXCLUDE","ok"))</f>
        <v/>
      </c>
      <c r="G153" s="55">
        <f>IF('04_DATA'!A150="","",IF('04_DATA'!D150&lt;PERCENTILE('04_DATA'!$D$2:$D$1001,0.05),"FLAG","ok"))</f>
        <v/>
      </c>
      <c r="H153" s="55">
        <f>IF('04_DATA'!A150="","",IF(OR(C153="EXCLUDE",F153="EXCLUDE"),"Exclude under pre-specified rule",IF(E153&gt;0.15,"Exclude: &gt;15% missing",IF(G153="FLAG","Retain; test in robustness battery","Retain"))))</f>
        <v/>
      </c>
    </row>
    <row r="154">
      <c r="A154" s="55" t="n">
        <v>151</v>
      </c>
      <c r="B154" s="55">
        <f>IF('04_DATA'!A151="","",'04_DATA'!A151)</f>
        <v/>
      </c>
      <c r="C154" s="55">
        <f>IF('04_DATA'!A151="","",IF(AND('04_DATA'!G151=1,'04_DATA'!H151=1,'04_DATA'!I151&gt;=3),"eligible","EXCLUDE"))</f>
        <v/>
      </c>
      <c r="D154" s="55">
        <f>IF('04_DATA'!A151="","",37-COUNT('04_DATA'!$K151:$AU151))</f>
        <v/>
      </c>
      <c r="E154" s="63">
        <f>IF('04_DATA'!A151="","",(37-COUNT('04_DATA'!$K151:$AU151))/37)</f>
        <v/>
      </c>
      <c r="F154" s="55">
        <f>IF('04_DATA'!A151="","",IF(AND(COUNT('04_DATA'!$K151:$AU151)=37,COUNTIF('04_DATA'!$K151:$AU151,INDEX('04_DATA'!$K151:$AU151,1))=37),"EXCLUDE","ok"))</f>
        <v/>
      </c>
      <c r="G154" s="55">
        <f>IF('04_DATA'!A151="","",IF('04_DATA'!D151&lt;PERCENTILE('04_DATA'!$D$2:$D$1001,0.05),"FLAG","ok"))</f>
        <v/>
      </c>
      <c r="H154" s="55">
        <f>IF('04_DATA'!A151="","",IF(OR(C154="EXCLUDE",F154="EXCLUDE"),"Exclude under pre-specified rule",IF(E154&gt;0.15,"Exclude: &gt;15% missing",IF(G154="FLAG","Retain; test in robustness battery","Retain"))))</f>
        <v/>
      </c>
    </row>
    <row r="155">
      <c r="A155" s="55" t="n">
        <v>152</v>
      </c>
      <c r="B155" s="55">
        <f>IF('04_DATA'!A152="","",'04_DATA'!A152)</f>
        <v/>
      </c>
      <c r="C155" s="55">
        <f>IF('04_DATA'!A152="","",IF(AND('04_DATA'!G152=1,'04_DATA'!H152=1,'04_DATA'!I152&gt;=3),"eligible","EXCLUDE"))</f>
        <v/>
      </c>
      <c r="D155" s="55">
        <f>IF('04_DATA'!A152="","",37-COUNT('04_DATA'!$K152:$AU152))</f>
        <v/>
      </c>
      <c r="E155" s="63">
        <f>IF('04_DATA'!A152="","",(37-COUNT('04_DATA'!$K152:$AU152))/37)</f>
        <v/>
      </c>
      <c r="F155" s="55">
        <f>IF('04_DATA'!A152="","",IF(AND(COUNT('04_DATA'!$K152:$AU152)=37,COUNTIF('04_DATA'!$K152:$AU152,INDEX('04_DATA'!$K152:$AU152,1))=37),"EXCLUDE","ok"))</f>
        <v/>
      </c>
      <c r="G155" s="55">
        <f>IF('04_DATA'!A152="","",IF('04_DATA'!D152&lt;PERCENTILE('04_DATA'!$D$2:$D$1001,0.05),"FLAG","ok"))</f>
        <v/>
      </c>
      <c r="H155" s="55">
        <f>IF('04_DATA'!A152="","",IF(OR(C155="EXCLUDE",F155="EXCLUDE"),"Exclude under pre-specified rule",IF(E155&gt;0.15,"Exclude: &gt;15% missing",IF(G155="FLAG","Retain; test in robustness battery","Retain"))))</f>
        <v/>
      </c>
    </row>
    <row r="156">
      <c r="A156" s="55" t="n">
        <v>153</v>
      </c>
      <c r="B156" s="55">
        <f>IF('04_DATA'!A153="","",'04_DATA'!A153)</f>
        <v/>
      </c>
      <c r="C156" s="55">
        <f>IF('04_DATA'!A153="","",IF(AND('04_DATA'!G153=1,'04_DATA'!H153=1,'04_DATA'!I153&gt;=3),"eligible","EXCLUDE"))</f>
        <v/>
      </c>
      <c r="D156" s="55">
        <f>IF('04_DATA'!A153="","",37-COUNT('04_DATA'!$K153:$AU153))</f>
        <v/>
      </c>
      <c r="E156" s="63">
        <f>IF('04_DATA'!A153="","",(37-COUNT('04_DATA'!$K153:$AU153))/37)</f>
        <v/>
      </c>
      <c r="F156" s="55">
        <f>IF('04_DATA'!A153="","",IF(AND(COUNT('04_DATA'!$K153:$AU153)=37,COUNTIF('04_DATA'!$K153:$AU153,INDEX('04_DATA'!$K153:$AU153,1))=37),"EXCLUDE","ok"))</f>
        <v/>
      </c>
      <c r="G156" s="55">
        <f>IF('04_DATA'!A153="","",IF('04_DATA'!D153&lt;PERCENTILE('04_DATA'!$D$2:$D$1001,0.05),"FLAG","ok"))</f>
        <v/>
      </c>
      <c r="H156" s="55">
        <f>IF('04_DATA'!A153="","",IF(OR(C156="EXCLUDE",F156="EXCLUDE"),"Exclude under pre-specified rule",IF(E156&gt;0.15,"Exclude: &gt;15% missing",IF(G156="FLAG","Retain; test in robustness battery","Retain"))))</f>
        <v/>
      </c>
    </row>
    <row r="157">
      <c r="A157" s="55" t="n">
        <v>154</v>
      </c>
      <c r="B157" s="55">
        <f>IF('04_DATA'!A154="","",'04_DATA'!A154)</f>
        <v/>
      </c>
      <c r="C157" s="55">
        <f>IF('04_DATA'!A154="","",IF(AND('04_DATA'!G154=1,'04_DATA'!H154=1,'04_DATA'!I154&gt;=3),"eligible","EXCLUDE"))</f>
        <v/>
      </c>
      <c r="D157" s="55">
        <f>IF('04_DATA'!A154="","",37-COUNT('04_DATA'!$K154:$AU154))</f>
        <v/>
      </c>
      <c r="E157" s="63">
        <f>IF('04_DATA'!A154="","",(37-COUNT('04_DATA'!$K154:$AU154))/37)</f>
        <v/>
      </c>
      <c r="F157" s="55">
        <f>IF('04_DATA'!A154="","",IF(AND(COUNT('04_DATA'!$K154:$AU154)=37,COUNTIF('04_DATA'!$K154:$AU154,INDEX('04_DATA'!$K154:$AU154,1))=37),"EXCLUDE","ok"))</f>
        <v/>
      </c>
      <c r="G157" s="55">
        <f>IF('04_DATA'!A154="","",IF('04_DATA'!D154&lt;PERCENTILE('04_DATA'!$D$2:$D$1001,0.05),"FLAG","ok"))</f>
        <v/>
      </c>
      <c r="H157" s="55">
        <f>IF('04_DATA'!A154="","",IF(OR(C157="EXCLUDE",F157="EXCLUDE"),"Exclude under pre-specified rule",IF(E157&gt;0.15,"Exclude: &gt;15% missing",IF(G157="FLAG","Retain; test in robustness battery","Retain"))))</f>
        <v/>
      </c>
    </row>
    <row r="158">
      <c r="A158" s="55" t="n">
        <v>155</v>
      </c>
      <c r="B158" s="55">
        <f>IF('04_DATA'!A155="","",'04_DATA'!A155)</f>
        <v/>
      </c>
      <c r="C158" s="55">
        <f>IF('04_DATA'!A155="","",IF(AND('04_DATA'!G155=1,'04_DATA'!H155=1,'04_DATA'!I155&gt;=3),"eligible","EXCLUDE"))</f>
        <v/>
      </c>
      <c r="D158" s="55">
        <f>IF('04_DATA'!A155="","",37-COUNT('04_DATA'!$K155:$AU155))</f>
        <v/>
      </c>
      <c r="E158" s="63">
        <f>IF('04_DATA'!A155="","",(37-COUNT('04_DATA'!$K155:$AU155))/37)</f>
        <v/>
      </c>
      <c r="F158" s="55">
        <f>IF('04_DATA'!A155="","",IF(AND(COUNT('04_DATA'!$K155:$AU155)=37,COUNTIF('04_DATA'!$K155:$AU155,INDEX('04_DATA'!$K155:$AU155,1))=37),"EXCLUDE","ok"))</f>
        <v/>
      </c>
      <c r="G158" s="55">
        <f>IF('04_DATA'!A155="","",IF('04_DATA'!D155&lt;PERCENTILE('04_DATA'!$D$2:$D$1001,0.05),"FLAG","ok"))</f>
        <v/>
      </c>
      <c r="H158" s="55">
        <f>IF('04_DATA'!A155="","",IF(OR(C158="EXCLUDE",F158="EXCLUDE"),"Exclude under pre-specified rule",IF(E158&gt;0.15,"Exclude: &gt;15% missing",IF(G158="FLAG","Retain; test in robustness battery","Retain"))))</f>
        <v/>
      </c>
    </row>
    <row r="159">
      <c r="A159" s="55" t="n">
        <v>156</v>
      </c>
      <c r="B159" s="55">
        <f>IF('04_DATA'!A156="","",'04_DATA'!A156)</f>
        <v/>
      </c>
      <c r="C159" s="55">
        <f>IF('04_DATA'!A156="","",IF(AND('04_DATA'!G156=1,'04_DATA'!H156=1,'04_DATA'!I156&gt;=3),"eligible","EXCLUDE"))</f>
        <v/>
      </c>
      <c r="D159" s="55">
        <f>IF('04_DATA'!A156="","",37-COUNT('04_DATA'!$K156:$AU156))</f>
        <v/>
      </c>
      <c r="E159" s="63">
        <f>IF('04_DATA'!A156="","",(37-COUNT('04_DATA'!$K156:$AU156))/37)</f>
        <v/>
      </c>
      <c r="F159" s="55">
        <f>IF('04_DATA'!A156="","",IF(AND(COUNT('04_DATA'!$K156:$AU156)=37,COUNTIF('04_DATA'!$K156:$AU156,INDEX('04_DATA'!$K156:$AU156,1))=37),"EXCLUDE","ok"))</f>
        <v/>
      </c>
      <c r="G159" s="55">
        <f>IF('04_DATA'!A156="","",IF('04_DATA'!D156&lt;PERCENTILE('04_DATA'!$D$2:$D$1001,0.05),"FLAG","ok"))</f>
        <v/>
      </c>
      <c r="H159" s="55">
        <f>IF('04_DATA'!A156="","",IF(OR(C159="EXCLUDE",F159="EXCLUDE"),"Exclude under pre-specified rule",IF(E159&gt;0.15,"Exclude: &gt;15% missing",IF(G159="FLAG","Retain; test in robustness battery","Retain"))))</f>
        <v/>
      </c>
    </row>
    <row r="160">
      <c r="A160" s="55" t="n">
        <v>157</v>
      </c>
      <c r="B160" s="55">
        <f>IF('04_DATA'!A157="","",'04_DATA'!A157)</f>
        <v/>
      </c>
      <c r="C160" s="55">
        <f>IF('04_DATA'!A157="","",IF(AND('04_DATA'!G157=1,'04_DATA'!H157=1,'04_DATA'!I157&gt;=3),"eligible","EXCLUDE"))</f>
        <v/>
      </c>
      <c r="D160" s="55">
        <f>IF('04_DATA'!A157="","",37-COUNT('04_DATA'!$K157:$AU157))</f>
        <v/>
      </c>
      <c r="E160" s="63">
        <f>IF('04_DATA'!A157="","",(37-COUNT('04_DATA'!$K157:$AU157))/37)</f>
        <v/>
      </c>
      <c r="F160" s="55">
        <f>IF('04_DATA'!A157="","",IF(AND(COUNT('04_DATA'!$K157:$AU157)=37,COUNTIF('04_DATA'!$K157:$AU157,INDEX('04_DATA'!$K157:$AU157,1))=37),"EXCLUDE","ok"))</f>
        <v/>
      </c>
      <c r="G160" s="55">
        <f>IF('04_DATA'!A157="","",IF('04_DATA'!D157&lt;PERCENTILE('04_DATA'!$D$2:$D$1001,0.05),"FLAG","ok"))</f>
        <v/>
      </c>
      <c r="H160" s="55">
        <f>IF('04_DATA'!A157="","",IF(OR(C160="EXCLUDE",F160="EXCLUDE"),"Exclude under pre-specified rule",IF(E160&gt;0.15,"Exclude: &gt;15% missing",IF(G160="FLAG","Retain; test in robustness battery","Retain"))))</f>
        <v/>
      </c>
    </row>
    <row r="161">
      <c r="A161" s="55" t="n">
        <v>158</v>
      </c>
      <c r="B161" s="55">
        <f>IF('04_DATA'!A158="","",'04_DATA'!A158)</f>
        <v/>
      </c>
      <c r="C161" s="55">
        <f>IF('04_DATA'!A158="","",IF(AND('04_DATA'!G158=1,'04_DATA'!H158=1,'04_DATA'!I158&gt;=3),"eligible","EXCLUDE"))</f>
        <v/>
      </c>
      <c r="D161" s="55">
        <f>IF('04_DATA'!A158="","",37-COUNT('04_DATA'!$K158:$AU158))</f>
        <v/>
      </c>
      <c r="E161" s="63">
        <f>IF('04_DATA'!A158="","",(37-COUNT('04_DATA'!$K158:$AU158))/37)</f>
        <v/>
      </c>
      <c r="F161" s="55">
        <f>IF('04_DATA'!A158="","",IF(AND(COUNT('04_DATA'!$K158:$AU158)=37,COUNTIF('04_DATA'!$K158:$AU158,INDEX('04_DATA'!$K158:$AU158,1))=37),"EXCLUDE","ok"))</f>
        <v/>
      </c>
      <c r="G161" s="55">
        <f>IF('04_DATA'!A158="","",IF('04_DATA'!D158&lt;PERCENTILE('04_DATA'!$D$2:$D$1001,0.05),"FLAG","ok"))</f>
        <v/>
      </c>
      <c r="H161" s="55">
        <f>IF('04_DATA'!A158="","",IF(OR(C161="EXCLUDE",F161="EXCLUDE"),"Exclude under pre-specified rule",IF(E161&gt;0.15,"Exclude: &gt;15% missing",IF(G161="FLAG","Retain; test in robustness battery","Retain"))))</f>
        <v/>
      </c>
    </row>
    <row r="162">
      <c r="A162" s="55" t="n">
        <v>159</v>
      </c>
      <c r="B162" s="55">
        <f>IF('04_DATA'!A159="","",'04_DATA'!A159)</f>
        <v/>
      </c>
      <c r="C162" s="55">
        <f>IF('04_DATA'!A159="","",IF(AND('04_DATA'!G159=1,'04_DATA'!H159=1,'04_DATA'!I159&gt;=3),"eligible","EXCLUDE"))</f>
        <v/>
      </c>
      <c r="D162" s="55">
        <f>IF('04_DATA'!A159="","",37-COUNT('04_DATA'!$K159:$AU159))</f>
        <v/>
      </c>
      <c r="E162" s="63">
        <f>IF('04_DATA'!A159="","",(37-COUNT('04_DATA'!$K159:$AU159))/37)</f>
        <v/>
      </c>
      <c r="F162" s="55">
        <f>IF('04_DATA'!A159="","",IF(AND(COUNT('04_DATA'!$K159:$AU159)=37,COUNTIF('04_DATA'!$K159:$AU159,INDEX('04_DATA'!$K159:$AU159,1))=37),"EXCLUDE","ok"))</f>
        <v/>
      </c>
      <c r="G162" s="55">
        <f>IF('04_DATA'!A159="","",IF('04_DATA'!D159&lt;PERCENTILE('04_DATA'!$D$2:$D$1001,0.05),"FLAG","ok"))</f>
        <v/>
      </c>
      <c r="H162" s="55">
        <f>IF('04_DATA'!A159="","",IF(OR(C162="EXCLUDE",F162="EXCLUDE"),"Exclude under pre-specified rule",IF(E162&gt;0.15,"Exclude: &gt;15% missing",IF(G162="FLAG","Retain; test in robustness battery","Retain"))))</f>
        <v/>
      </c>
    </row>
    <row r="163">
      <c r="A163" s="55" t="n">
        <v>160</v>
      </c>
      <c r="B163" s="55">
        <f>IF('04_DATA'!A160="","",'04_DATA'!A160)</f>
        <v/>
      </c>
      <c r="C163" s="55">
        <f>IF('04_DATA'!A160="","",IF(AND('04_DATA'!G160=1,'04_DATA'!H160=1,'04_DATA'!I160&gt;=3),"eligible","EXCLUDE"))</f>
        <v/>
      </c>
      <c r="D163" s="55">
        <f>IF('04_DATA'!A160="","",37-COUNT('04_DATA'!$K160:$AU160))</f>
        <v/>
      </c>
      <c r="E163" s="63">
        <f>IF('04_DATA'!A160="","",(37-COUNT('04_DATA'!$K160:$AU160))/37)</f>
        <v/>
      </c>
      <c r="F163" s="55">
        <f>IF('04_DATA'!A160="","",IF(AND(COUNT('04_DATA'!$K160:$AU160)=37,COUNTIF('04_DATA'!$K160:$AU160,INDEX('04_DATA'!$K160:$AU160,1))=37),"EXCLUDE","ok"))</f>
        <v/>
      </c>
      <c r="G163" s="55">
        <f>IF('04_DATA'!A160="","",IF('04_DATA'!D160&lt;PERCENTILE('04_DATA'!$D$2:$D$1001,0.05),"FLAG","ok"))</f>
        <v/>
      </c>
      <c r="H163" s="55">
        <f>IF('04_DATA'!A160="","",IF(OR(C163="EXCLUDE",F163="EXCLUDE"),"Exclude under pre-specified rule",IF(E163&gt;0.15,"Exclude: &gt;15% missing",IF(G163="FLAG","Retain; test in robustness battery","Retain"))))</f>
        <v/>
      </c>
    </row>
    <row r="164">
      <c r="A164" s="55" t="n">
        <v>161</v>
      </c>
      <c r="B164" s="55">
        <f>IF('04_DATA'!A161="","",'04_DATA'!A161)</f>
        <v/>
      </c>
      <c r="C164" s="55">
        <f>IF('04_DATA'!A161="","",IF(AND('04_DATA'!G161=1,'04_DATA'!H161=1,'04_DATA'!I161&gt;=3),"eligible","EXCLUDE"))</f>
        <v/>
      </c>
      <c r="D164" s="55">
        <f>IF('04_DATA'!A161="","",37-COUNT('04_DATA'!$K161:$AU161))</f>
        <v/>
      </c>
      <c r="E164" s="63">
        <f>IF('04_DATA'!A161="","",(37-COUNT('04_DATA'!$K161:$AU161))/37)</f>
        <v/>
      </c>
      <c r="F164" s="55">
        <f>IF('04_DATA'!A161="","",IF(AND(COUNT('04_DATA'!$K161:$AU161)=37,COUNTIF('04_DATA'!$K161:$AU161,INDEX('04_DATA'!$K161:$AU161,1))=37),"EXCLUDE","ok"))</f>
        <v/>
      </c>
      <c r="G164" s="55">
        <f>IF('04_DATA'!A161="","",IF('04_DATA'!D161&lt;PERCENTILE('04_DATA'!$D$2:$D$1001,0.05),"FLAG","ok"))</f>
        <v/>
      </c>
      <c r="H164" s="55">
        <f>IF('04_DATA'!A161="","",IF(OR(C164="EXCLUDE",F164="EXCLUDE"),"Exclude under pre-specified rule",IF(E164&gt;0.15,"Exclude: &gt;15% missing",IF(G164="FLAG","Retain; test in robustness battery","Retain"))))</f>
        <v/>
      </c>
    </row>
    <row r="165">
      <c r="A165" s="55" t="n">
        <v>162</v>
      </c>
      <c r="B165" s="55">
        <f>IF('04_DATA'!A162="","",'04_DATA'!A162)</f>
        <v/>
      </c>
      <c r="C165" s="55">
        <f>IF('04_DATA'!A162="","",IF(AND('04_DATA'!G162=1,'04_DATA'!H162=1,'04_DATA'!I162&gt;=3),"eligible","EXCLUDE"))</f>
        <v/>
      </c>
      <c r="D165" s="55">
        <f>IF('04_DATA'!A162="","",37-COUNT('04_DATA'!$K162:$AU162))</f>
        <v/>
      </c>
      <c r="E165" s="63">
        <f>IF('04_DATA'!A162="","",(37-COUNT('04_DATA'!$K162:$AU162))/37)</f>
        <v/>
      </c>
      <c r="F165" s="55">
        <f>IF('04_DATA'!A162="","",IF(AND(COUNT('04_DATA'!$K162:$AU162)=37,COUNTIF('04_DATA'!$K162:$AU162,INDEX('04_DATA'!$K162:$AU162,1))=37),"EXCLUDE","ok"))</f>
        <v/>
      </c>
      <c r="G165" s="55">
        <f>IF('04_DATA'!A162="","",IF('04_DATA'!D162&lt;PERCENTILE('04_DATA'!$D$2:$D$1001,0.05),"FLAG","ok"))</f>
        <v/>
      </c>
      <c r="H165" s="55">
        <f>IF('04_DATA'!A162="","",IF(OR(C165="EXCLUDE",F165="EXCLUDE"),"Exclude under pre-specified rule",IF(E165&gt;0.15,"Exclude: &gt;15% missing",IF(G165="FLAG","Retain; test in robustness battery","Retain"))))</f>
        <v/>
      </c>
    </row>
    <row r="166">
      <c r="A166" s="55" t="n">
        <v>163</v>
      </c>
      <c r="B166" s="55">
        <f>IF('04_DATA'!A163="","",'04_DATA'!A163)</f>
        <v/>
      </c>
      <c r="C166" s="55">
        <f>IF('04_DATA'!A163="","",IF(AND('04_DATA'!G163=1,'04_DATA'!H163=1,'04_DATA'!I163&gt;=3),"eligible","EXCLUDE"))</f>
        <v/>
      </c>
      <c r="D166" s="55">
        <f>IF('04_DATA'!A163="","",37-COUNT('04_DATA'!$K163:$AU163))</f>
        <v/>
      </c>
      <c r="E166" s="63">
        <f>IF('04_DATA'!A163="","",(37-COUNT('04_DATA'!$K163:$AU163))/37)</f>
        <v/>
      </c>
      <c r="F166" s="55">
        <f>IF('04_DATA'!A163="","",IF(AND(COUNT('04_DATA'!$K163:$AU163)=37,COUNTIF('04_DATA'!$K163:$AU163,INDEX('04_DATA'!$K163:$AU163,1))=37),"EXCLUDE","ok"))</f>
        <v/>
      </c>
      <c r="G166" s="55">
        <f>IF('04_DATA'!A163="","",IF('04_DATA'!D163&lt;PERCENTILE('04_DATA'!$D$2:$D$1001,0.05),"FLAG","ok"))</f>
        <v/>
      </c>
      <c r="H166" s="55">
        <f>IF('04_DATA'!A163="","",IF(OR(C166="EXCLUDE",F166="EXCLUDE"),"Exclude under pre-specified rule",IF(E166&gt;0.15,"Exclude: &gt;15% missing",IF(G166="FLAG","Retain; test in robustness battery","Retain"))))</f>
        <v/>
      </c>
    </row>
    <row r="167">
      <c r="A167" s="55" t="n">
        <v>164</v>
      </c>
      <c r="B167" s="55">
        <f>IF('04_DATA'!A164="","",'04_DATA'!A164)</f>
        <v/>
      </c>
      <c r="C167" s="55">
        <f>IF('04_DATA'!A164="","",IF(AND('04_DATA'!G164=1,'04_DATA'!H164=1,'04_DATA'!I164&gt;=3),"eligible","EXCLUDE"))</f>
        <v/>
      </c>
      <c r="D167" s="55">
        <f>IF('04_DATA'!A164="","",37-COUNT('04_DATA'!$K164:$AU164))</f>
        <v/>
      </c>
      <c r="E167" s="63">
        <f>IF('04_DATA'!A164="","",(37-COUNT('04_DATA'!$K164:$AU164))/37)</f>
        <v/>
      </c>
      <c r="F167" s="55">
        <f>IF('04_DATA'!A164="","",IF(AND(COUNT('04_DATA'!$K164:$AU164)=37,COUNTIF('04_DATA'!$K164:$AU164,INDEX('04_DATA'!$K164:$AU164,1))=37),"EXCLUDE","ok"))</f>
        <v/>
      </c>
      <c r="G167" s="55">
        <f>IF('04_DATA'!A164="","",IF('04_DATA'!D164&lt;PERCENTILE('04_DATA'!$D$2:$D$1001,0.05),"FLAG","ok"))</f>
        <v/>
      </c>
      <c r="H167" s="55">
        <f>IF('04_DATA'!A164="","",IF(OR(C167="EXCLUDE",F167="EXCLUDE"),"Exclude under pre-specified rule",IF(E167&gt;0.15,"Exclude: &gt;15% missing",IF(G167="FLAG","Retain; test in robustness battery","Retain"))))</f>
        <v/>
      </c>
    </row>
    <row r="168">
      <c r="A168" s="55" t="n">
        <v>165</v>
      </c>
      <c r="B168" s="55">
        <f>IF('04_DATA'!A165="","",'04_DATA'!A165)</f>
        <v/>
      </c>
      <c r="C168" s="55">
        <f>IF('04_DATA'!A165="","",IF(AND('04_DATA'!G165=1,'04_DATA'!H165=1,'04_DATA'!I165&gt;=3),"eligible","EXCLUDE"))</f>
        <v/>
      </c>
      <c r="D168" s="55">
        <f>IF('04_DATA'!A165="","",37-COUNT('04_DATA'!$K165:$AU165))</f>
        <v/>
      </c>
      <c r="E168" s="63">
        <f>IF('04_DATA'!A165="","",(37-COUNT('04_DATA'!$K165:$AU165))/37)</f>
        <v/>
      </c>
      <c r="F168" s="55">
        <f>IF('04_DATA'!A165="","",IF(AND(COUNT('04_DATA'!$K165:$AU165)=37,COUNTIF('04_DATA'!$K165:$AU165,INDEX('04_DATA'!$K165:$AU165,1))=37),"EXCLUDE","ok"))</f>
        <v/>
      </c>
      <c r="G168" s="55">
        <f>IF('04_DATA'!A165="","",IF('04_DATA'!D165&lt;PERCENTILE('04_DATA'!$D$2:$D$1001,0.05),"FLAG","ok"))</f>
        <v/>
      </c>
      <c r="H168" s="55">
        <f>IF('04_DATA'!A165="","",IF(OR(C168="EXCLUDE",F168="EXCLUDE"),"Exclude under pre-specified rule",IF(E168&gt;0.15,"Exclude: &gt;15% missing",IF(G168="FLAG","Retain; test in robustness battery","Retain"))))</f>
        <v/>
      </c>
    </row>
    <row r="169">
      <c r="A169" s="55" t="n">
        <v>166</v>
      </c>
      <c r="B169" s="55">
        <f>IF('04_DATA'!A166="","",'04_DATA'!A166)</f>
        <v/>
      </c>
      <c r="C169" s="55">
        <f>IF('04_DATA'!A166="","",IF(AND('04_DATA'!G166=1,'04_DATA'!H166=1,'04_DATA'!I166&gt;=3),"eligible","EXCLUDE"))</f>
        <v/>
      </c>
      <c r="D169" s="55">
        <f>IF('04_DATA'!A166="","",37-COUNT('04_DATA'!$K166:$AU166))</f>
        <v/>
      </c>
      <c r="E169" s="63">
        <f>IF('04_DATA'!A166="","",(37-COUNT('04_DATA'!$K166:$AU166))/37)</f>
        <v/>
      </c>
      <c r="F169" s="55">
        <f>IF('04_DATA'!A166="","",IF(AND(COUNT('04_DATA'!$K166:$AU166)=37,COUNTIF('04_DATA'!$K166:$AU166,INDEX('04_DATA'!$K166:$AU166,1))=37),"EXCLUDE","ok"))</f>
        <v/>
      </c>
      <c r="G169" s="55">
        <f>IF('04_DATA'!A166="","",IF('04_DATA'!D166&lt;PERCENTILE('04_DATA'!$D$2:$D$1001,0.05),"FLAG","ok"))</f>
        <v/>
      </c>
      <c r="H169" s="55">
        <f>IF('04_DATA'!A166="","",IF(OR(C169="EXCLUDE",F169="EXCLUDE"),"Exclude under pre-specified rule",IF(E169&gt;0.15,"Exclude: &gt;15% missing",IF(G169="FLAG","Retain; test in robustness battery","Retain"))))</f>
        <v/>
      </c>
    </row>
    <row r="170">
      <c r="A170" s="55" t="n">
        <v>167</v>
      </c>
      <c r="B170" s="55">
        <f>IF('04_DATA'!A167="","",'04_DATA'!A167)</f>
        <v/>
      </c>
      <c r="C170" s="55">
        <f>IF('04_DATA'!A167="","",IF(AND('04_DATA'!G167=1,'04_DATA'!H167=1,'04_DATA'!I167&gt;=3),"eligible","EXCLUDE"))</f>
        <v/>
      </c>
      <c r="D170" s="55">
        <f>IF('04_DATA'!A167="","",37-COUNT('04_DATA'!$K167:$AU167))</f>
        <v/>
      </c>
      <c r="E170" s="63">
        <f>IF('04_DATA'!A167="","",(37-COUNT('04_DATA'!$K167:$AU167))/37)</f>
        <v/>
      </c>
      <c r="F170" s="55">
        <f>IF('04_DATA'!A167="","",IF(AND(COUNT('04_DATA'!$K167:$AU167)=37,COUNTIF('04_DATA'!$K167:$AU167,INDEX('04_DATA'!$K167:$AU167,1))=37),"EXCLUDE","ok"))</f>
        <v/>
      </c>
      <c r="G170" s="55">
        <f>IF('04_DATA'!A167="","",IF('04_DATA'!D167&lt;PERCENTILE('04_DATA'!$D$2:$D$1001,0.05),"FLAG","ok"))</f>
        <v/>
      </c>
      <c r="H170" s="55">
        <f>IF('04_DATA'!A167="","",IF(OR(C170="EXCLUDE",F170="EXCLUDE"),"Exclude under pre-specified rule",IF(E170&gt;0.15,"Exclude: &gt;15% missing",IF(G170="FLAG","Retain; test in robustness battery","Retain"))))</f>
        <v/>
      </c>
    </row>
    <row r="171">
      <c r="A171" s="55" t="n">
        <v>168</v>
      </c>
      <c r="B171" s="55">
        <f>IF('04_DATA'!A168="","",'04_DATA'!A168)</f>
        <v/>
      </c>
      <c r="C171" s="55">
        <f>IF('04_DATA'!A168="","",IF(AND('04_DATA'!G168=1,'04_DATA'!H168=1,'04_DATA'!I168&gt;=3),"eligible","EXCLUDE"))</f>
        <v/>
      </c>
      <c r="D171" s="55">
        <f>IF('04_DATA'!A168="","",37-COUNT('04_DATA'!$K168:$AU168))</f>
        <v/>
      </c>
      <c r="E171" s="63">
        <f>IF('04_DATA'!A168="","",(37-COUNT('04_DATA'!$K168:$AU168))/37)</f>
        <v/>
      </c>
      <c r="F171" s="55">
        <f>IF('04_DATA'!A168="","",IF(AND(COUNT('04_DATA'!$K168:$AU168)=37,COUNTIF('04_DATA'!$K168:$AU168,INDEX('04_DATA'!$K168:$AU168,1))=37),"EXCLUDE","ok"))</f>
        <v/>
      </c>
      <c r="G171" s="55">
        <f>IF('04_DATA'!A168="","",IF('04_DATA'!D168&lt;PERCENTILE('04_DATA'!$D$2:$D$1001,0.05),"FLAG","ok"))</f>
        <v/>
      </c>
      <c r="H171" s="55">
        <f>IF('04_DATA'!A168="","",IF(OR(C171="EXCLUDE",F171="EXCLUDE"),"Exclude under pre-specified rule",IF(E171&gt;0.15,"Exclude: &gt;15% missing",IF(G171="FLAG","Retain; test in robustness battery","Retain"))))</f>
        <v/>
      </c>
    </row>
    <row r="172">
      <c r="A172" s="55" t="n">
        <v>169</v>
      </c>
      <c r="B172" s="55">
        <f>IF('04_DATA'!A169="","",'04_DATA'!A169)</f>
        <v/>
      </c>
      <c r="C172" s="55">
        <f>IF('04_DATA'!A169="","",IF(AND('04_DATA'!G169=1,'04_DATA'!H169=1,'04_DATA'!I169&gt;=3),"eligible","EXCLUDE"))</f>
        <v/>
      </c>
      <c r="D172" s="55">
        <f>IF('04_DATA'!A169="","",37-COUNT('04_DATA'!$K169:$AU169))</f>
        <v/>
      </c>
      <c r="E172" s="63">
        <f>IF('04_DATA'!A169="","",(37-COUNT('04_DATA'!$K169:$AU169))/37)</f>
        <v/>
      </c>
      <c r="F172" s="55">
        <f>IF('04_DATA'!A169="","",IF(AND(COUNT('04_DATA'!$K169:$AU169)=37,COUNTIF('04_DATA'!$K169:$AU169,INDEX('04_DATA'!$K169:$AU169,1))=37),"EXCLUDE","ok"))</f>
        <v/>
      </c>
      <c r="G172" s="55">
        <f>IF('04_DATA'!A169="","",IF('04_DATA'!D169&lt;PERCENTILE('04_DATA'!$D$2:$D$1001,0.05),"FLAG","ok"))</f>
        <v/>
      </c>
      <c r="H172" s="55">
        <f>IF('04_DATA'!A169="","",IF(OR(C172="EXCLUDE",F172="EXCLUDE"),"Exclude under pre-specified rule",IF(E172&gt;0.15,"Exclude: &gt;15% missing",IF(G172="FLAG","Retain; test in robustness battery","Retain"))))</f>
        <v/>
      </c>
    </row>
    <row r="173">
      <c r="A173" s="55" t="n">
        <v>170</v>
      </c>
      <c r="B173" s="55">
        <f>IF('04_DATA'!A170="","",'04_DATA'!A170)</f>
        <v/>
      </c>
      <c r="C173" s="55">
        <f>IF('04_DATA'!A170="","",IF(AND('04_DATA'!G170=1,'04_DATA'!H170=1,'04_DATA'!I170&gt;=3),"eligible","EXCLUDE"))</f>
        <v/>
      </c>
      <c r="D173" s="55">
        <f>IF('04_DATA'!A170="","",37-COUNT('04_DATA'!$K170:$AU170))</f>
        <v/>
      </c>
      <c r="E173" s="63">
        <f>IF('04_DATA'!A170="","",(37-COUNT('04_DATA'!$K170:$AU170))/37)</f>
        <v/>
      </c>
      <c r="F173" s="55">
        <f>IF('04_DATA'!A170="","",IF(AND(COUNT('04_DATA'!$K170:$AU170)=37,COUNTIF('04_DATA'!$K170:$AU170,INDEX('04_DATA'!$K170:$AU170,1))=37),"EXCLUDE","ok"))</f>
        <v/>
      </c>
      <c r="G173" s="55">
        <f>IF('04_DATA'!A170="","",IF('04_DATA'!D170&lt;PERCENTILE('04_DATA'!$D$2:$D$1001,0.05),"FLAG","ok"))</f>
        <v/>
      </c>
      <c r="H173" s="55">
        <f>IF('04_DATA'!A170="","",IF(OR(C173="EXCLUDE",F173="EXCLUDE"),"Exclude under pre-specified rule",IF(E173&gt;0.15,"Exclude: &gt;15% missing",IF(G173="FLAG","Retain; test in robustness battery","Retain"))))</f>
        <v/>
      </c>
    </row>
    <row r="174">
      <c r="A174" s="55" t="n">
        <v>171</v>
      </c>
      <c r="B174" s="55">
        <f>IF('04_DATA'!A171="","",'04_DATA'!A171)</f>
        <v/>
      </c>
      <c r="C174" s="55">
        <f>IF('04_DATA'!A171="","",IF(AND('04_DATA'!G171=1,'04_DATA'!H171=1,'04_DATA'!I171&gt;=3),"eligible","EXCLUDE"))</f>
        <v/>
      </c>
      <c r="D174" s="55">
        <f>IF('04_DATA'!A171="","",37-COUNT('04_DATA'!$K171:$AU171))</f>
        <v/>
      </c>
      <c r="E174" s="63">
        <f>IF('04_DATA'!A171="","",(37-COUNT('04_DATA'!$K171:$AU171))/37)</f>
        <v/>
      </c>
      <c r="F174" s="55">
        <f>IF('04_DATA'!A171="","",IF(AND(COUNT('04_DATA'!$K171:$AU171)=37,COUNTIF('04_DATA'!$K171:$AU171,INDEX('04_DATA'!$K171:$AU171,1))=37),"EXCLUDE","ok"))</f>
        <v/>
      </c>
      <c r="G174" s="55">
        <f>IF('04_DATA'!A171="","",IF('04_DATA'!D171&lt;PERCENTILE('04_DATA'!$D$2:$D$1001,0.05),"FLAG","ok"))</f>
        <v/>
      </c>
      <c r="H174" s="55">
        <f>IF('04_DATA'!A171="","",IF(OR(C174="EXCLUDE",F174="EXCLUDE"),"Exclude under pre-specified rule",IF(E174&gt;0.15,"Exclude: &gt;15% missing",IF(G174="FLAG","Retain; test in robustness battery","Retain"))))</f>
        <v/>
      </c>
    </row>
    <row r="175">
      <c r="A175" s="55" t="n">
        <v>172</v>
      </c>
      <c r="B175" s="55">
        <f>IF('04_DATA'!A172="","",'04_DATA'!A172)</f>
        <v/>
      </c>
      <c r="C175" s="55">
        <f>IF('04_DATA'!A172="","",IF(AND('04_DATA'!G172=1,'04_DATA'!H172=1,'04_DATA'!I172&gt;=3),"eligible","EXCLUDE"))</f>
        <v/>
      </c>
      <c r="D175" s="55">
        <f>IF('04_DATA'!A172="","",37-COUNT('04_DATA'!$K172:$AU172))</f>
        <v/>
      </c>
      <c r="E175" s="63">
        <f>IF('04_DATA'!A172="","",(37-COUNT('04_DATA'!$K172:$AU172))/37)</f>
        <v/>
      </c>
      <c r="F175" s="55">
        <f>IF('04_DATA'!A172="","",IF(AND(COUNT('04_DATA'!$K172:$AU172)=37,COUNTIF('04_DATA'!$K172:$AU172,INDEX('04_DATA'!$K172:$AU172,1))=37),"EXCLUDE","ok"))</f>
        <v/>
      </c>
      <c r="G175" s="55">
        <f>IF('04_DATA'!A172="","",IF('04_DATA'!D172&lt;PERCENTILE('04_DATA'!$D$2:$D$1001,0.05),"FLAG","ok"))</f>
        <v/>
      </c>
      <c r="H175" s="55">
        <f>IF('04_DATA'!A172="","",IF(OR(C175="EXCLUDE",F175="EXCLUDE"),"Exclude under pre-specified rule",IF(E175&gt;0.15,"Exclude: &gt;15% missing",IF(G175="FLAG","Retain; test in robustness battery","Retain"))))</f>
        <v/>
      </c>
    </row>
    <row r="176">
      <c r="A176" s="55" t="n">
        <v>173</v>
      </c>
      <c r="B176" s="55">
        <f>IF('04_DATA'!A173="","",'04_DATA'!A173)</f>
        <v/>
      </c>
      <c r="C176" s="55">
        <f>IF('04_DATA'!A173="","",IF(AND('04_DATA'!G173=1,'04_DATA'!H173=1,'04_DATA'!I173&gt;=3),"eligible","EXCLUDE"))</f>
        <v/>
      </c>
      <c r="D176" s="55">
        <f>IF('04_DATA'!A173="","",37-COUNT('04_DATA'!$K173:$AU173))</f>
        <v/>
      </c>
      <c r="E176" s="63">
        <f>IF('04_DATA'!A173="","",(37-COUNT('04_DATA'!$K173:$AU173))/37)</f>
        <v/>
      </c>
      <c r="F176" s="55">
        <f>IF('04_DATA'!A173="","",IF(AND(COUNT('04_DATA'!$K173:$AU173)=37,COUNTIF('04_DATA'!$K173:$AU173,INDEX('04_DATA'!$K173:$AU173,1))=37),"EXCLUDE","ok"))</f>
        <v/>
      </c>
      <c r="G176" s="55">
        <f>IF('04_DATA'!A173="","",IF('04_DATA'!D173&lt;PERCENTILE('04_DATA'!$D$2:$D$1001,0.05),"FLAG","ok"))</f>
        <v/>
      </c>
      <c r="H176" s="55">
        <f>IF('04_DATA'!A173="","",IF(OR(C176="EXCLUDE",F176="EXCLUDE"),"Exclude under pre-specified rule",IF(E176&gt;0.15,"Exclude: &gt;15% missing",IF(G176="FLAG","Retain; test in robustness battery","Retain"))))</f>
        <v/>
      </c>
    </row>
    <row r="177">
      <c r="A177" s="55" t="n">
        <v>174</v>
      </c>
      <c r="B177" s="55">
        <f>IF('04_DATA'!A174="","",'04_DATA'!A174)</f>
        <v/>
      </c>
      <c r="C177" s="55">
        <f>IF('04_DATA'!A174="","",IF(AND('04_DATA'!G174=1,'04_DATA'!H174=1,'04_DATA'!I174&gt;=3),"eligible","EXCLUDE"))</f>
        <v/>
      </c>
      <c r="D177" s="55">
        <f>IF('04_DATA'!A174="","",37-COUNT('04_DATA'!$K174:$AU174))</f>
        <v/>
      </c>
      <c r="E177" s="63">
        <f>IF('04_DATA'!A174="","",(37-COUNT('04_DATA'!$K174:$AU174))/37)</f>
        <v/>
      </c>
      <c r="F177" s="55">
        <f>IF('04_DATA'!A174="","",IF(AND(COUNT('04_DATA'!$K174:$AU174)=37,COUNTIF('04_DATA'!$K174:$AU174,INDEX('04_DATA'!$K174:$AU174,1))=37),"EXCLUDE","ok"))</f>
        <v/>
      </c>
      <c r="G177" s="55">
        <f>IF('04_DATA'!A174="","",IF('04_DATA'!D174&lt;PERCENTILE('04_DATA'!$D$2:$D$1001,0.05),"FLAG","ok"))</f>
        <v/>
      </c>
      <c r="H177" s="55">
        <f>IF('04_DATA'!A174="","",IF(OR(C177="EXCLUDE",F177="EXCLUDE"),"Exclude under pre-specified rule",IF(E177&gt;0.15,"Exclude: &gt;15% missing",IF(G177="FLAG","Retain; test in robustness battery","Retain"))))</f>
        <v/>
      </c>
    </row>
    <row r="178">
      <c r="A178" s="55" t="n">
        <v>175</v>
      </c>
      <c r="B178" s="55">
        <f>IF('04_DATA'!A175="","",'04_DATA'!A175)</f>
        <v/>
      </c>
      <c r="C178" s="55">
        <f>IF('04_DATA'!A175="","",IF(AND('04_DATA'!G175=1,'04_DATA'!H175=1,'04_DATA'!I175&gt;=3),"eligible","EXCLUDE"))</f>
        <v/>
      </c>
      <c r="D178" s="55">
        <f>IF('04_DATA'!A175="","",37-COUNT('04_DATA'!$K175:$AU175))</f>
        <v/>
      </c>
      <c r="E178" s="63">
        <f>IF('04_DATA'!A175="","",(37-COUNT('04_DATA'!$K175:$AU175))/37)</f>
        <v/>
      </c>
      <c r="F178" s="55">
        <f>IF('04_DATA'!A175="","",IF(AND(COUNT('04_DATA'!$K175:$AU175)=37,COUNTIF('04_DATA'!$K175:$AU175,INDEX('04_DATA'!$K175:$AU175,1))=37),"EXCLUDE","ok"))</f>
        <v/>
      </c>
      <c r="G178" s="55">
        <f>IF('04_DATA'!A175="","",IF('04_DATA'!D175&lt;PERCENTILE('04_DATA'!$D$2:$D$1001,0.05),"FLAG","ok"))</f>
        <v/>
      </c>
      <c r="H178" s="55">
        <f>IF('04_DATA'!A175="","",IF(OR(C178="EXCLUDE",F178="EXCLUDE"),"Exclude under pre-specified rule",IF(E178&gt;0.15,"Exclude: &gt;15% missing",IF(G178="FLAG","Retain; test in robustness battery","Retain"))))</f>
        <v/>
      </c>
    </row>
    <row r="179">
      <c r="A179" s="55" t="n">
        <v>176</v>
      </c>
      <c r="B179" s="55">
        <f>IF('04_DATA'!A176="","",'04_DATA'!A176)</f>
        <v/>
      </c>
      <c r="C179" s="55">
        <f>IF('04_DATA'!A176="","",IF(AND('04_DATA'!G176=1,'04_DATA'!H176=1,'04_DATA'!I176&gt;=3),"eligible","EXCLUDE"))</f>
        <v/>
      </c>
      <c r="D179" s="55">
        <f>IF('04_DATA'!A176="","",37-COUNT('04_DATA'!$K176:$AU176))</f>
        <v/>
      </c>
      <c r="E179" s="63">
        <f>IF('04_DATA'!A176="","",(37-COUNT('04_DATA'!$K176:$AU176))/37)</f>
        <v/>
      </c>
      <c r="F179" s="55">
        <f>IF('04_DATA'!A176="","",IF(AND(COUNT('04_DATA'!$K176:$AU176)=37,COUNTIF('04_DATA'!$K176:$AU176,INDEX('04_DATA'!$K176:$AU176,1))=37),"EXCLUDE","ok"))</f>
        <v/>
      </c>
      <c r="G179" s="55">
        <f>IF('04_DATA'!A176="","",IF('04_DATA'!D176&lt;PERCENTILE('04_DATA'!$D$2:$D$1001,0.05),"FLAG","ok"))</f>
        <v/>
      </c>
      <c r="H179" s="55">
        <f>IF('04_DATA'!A176="","",IF(OR(C179="EXCLUDE",F179="EXCLUDE"),"Exclude under pre-specified rule",IF(E179&gt;0.15,"Exclude: &gt;15% missing",IF(G179="FLAG","Retain; test in robustness battery","Retain"))))</f>
        <v/>
      </c>
    </row>
    <row r="180">
      <c r="A180" s="55" t="n">
        <v>177</v>
      </c>
      <c r="B180" s="55">
        <f>IF('04_DATA'!A177="","",'04_DATA'!A177)</f>
        <v/>
      </c>
      <c r="C180" s="55">
        <f>IF('04_DATA'!A177="","",IF(AND('04_DATA'!G177=1,'04_DATA'!H177=1,'04_DATA'!I177&gt;=3),"eligible","EXCLUDE"))</f>
        <v/>
      </c>
      <c r="D180" s="55">
        <f>IF('04_DATA'!A177="","",37-COUNT('04_DATA'!$K177:$AU177))</f>
        <v/>
      </c>
      <c r="E180" s="63">
        <f>IF('04_DATA'!A177="","",(37-COUNT('04_DATA'!$K177:$AU177))/37)</f>
        <v/>
      </c>
      <c r="F180" s="55">
        <f>IF('04_DATA'!A177="","",IF(AND(COUNT('04_DATA'!$K177:$AU177)=37,COUNTIF('04_DATA'!$K177:$AU177,INDEX('04_DATA'!$K177:$AU177,1))=37),"EXCLUDE","ok"))</f>
        <v/>
      </c>
      <c r="G180" s="55">
        <f>IF('04_DATA'!A177="","",IF('04_DATA'!D177&lt;PERCENTILE('04_DATA'!$D$2:$D$1001,0.05),"FLAG","ok"))</f>
        <v/>
      </c>
      <c r="H180" s="55">
        <f>IF('04_DATA'!A177="","",IF(OR(C180="EXCLUDE",F180="EXCLUDE"),"Exclude under pre-specified rule",IF(E180&gt;0.15,"Exclude: &gt;15% missing",IF(G180="FLAG","Retain; test in robustness battery","Retain"))))</f>
        <v/>
      </c>
    </row>
    <row r="181">
      <c r="A181" s="55" t="n">
        <v>178</v>
      </c>
      <c r="B181" s="55">
        <f>IF('04_DATA'!A178="","",'04_DATA'!A178)</f>
        <v/>
      </c>
      <c r="C181" s="55">
        <f>IF('04_DATA'!A178="","",IF(AND('04_DATA'!G178=1,'04_DATA'!H178=1,'04_DATA'!I178&gt;=3),"eligible","EXCLUDE"))</f>
        <v/>
      </c>
      <c r="D181" s="55">
        <f>IF('04_DATA'!A178="","",37-COUNT('04_DATA'!$K178:$AU178))</f>
        <v/>
      </c>
      <c r="E181" s="63">
        <f>IF('04_DATA'!A178="","",(37-COUNT('04_DATA'!$K178:$AU178))/37)</f>
        <v/>
      </c>
      <c r="F181" s="55">
        <f>IF('04_DATA'!A178="","",IF(AND(COUNT('04_DATA'!$K178:$AU178)=37,COUNTIF('04_DATA'!$K178:$AU178,INDEX('04_DATA'!$K178:$AU178,1))=37),"EXCLUDE","ok"))</f>
        <v/>
      </c>
      <c r="G181" s="55">
        <f>IF('04_DATA'!A178="","",IF('04_DATA'!D178&lt;PERCENTILE('04_DATA'!$D$2:$D$1001,0.05),"FLAG","ok"))</f>
        <v/>
      </c>
      <c r="H181" s="55">
        <f>IF('04_DATA'!A178="","",IF(OR(C181="EXCLUDE",F181="EXCLUDE"),"Exclude under pre-specified rule",IF(E181&gt;0.15,"Exclude: &gt;15% missing",IF(G181="FLAG","Retain; test in robustness battery","Retain"))))</f>
        <v/>
      </c>
    </row>
    <row r="182">
      <c r="A182" s="55" t="n">
        <v>179</v>
      </c>
      <c r="B182" s="55">
        <f>IF('04_DATA'!A179="","",'04_DATA'!A179)</f>
        <v/>
      </c>
      <c r="C182" s="55">
        <f>IF('04_DATA'!A179="","",IF(AND('04_DATA'!G179=1,'04_DATA'!H179=1,'04_DATA'!I179&gt;=3),"eligible","EXCLUDE"))</f>
        <v/>
      </c>
      <c r="D182" s="55">
        <f>IF('04_DATA'!A179="","",37-COUNT('04_DATA'!$K179:$AU179))</f>
        <v/>
      </c>
      <c r="E182" s="63">
        <f>IF('04_DATA'!A179="","",(37-COUNT('04_DATA'!$K179:$AU179))/37)</f>
        <v/>
      </c>
      <c r="F182" s="55">
        <f>IF('04_DATA'!A179="","",IF(AND(COUNT('04_DATA'!$K179:$AU179)=37,COUNTIF('04_DATA'!$K179:$AU179,INDEX('04_DATA'!$K179:$AU179,1))=37),"EXCLUDE","ok"))</f>
        <v/>
      </c>
      <c r="G182" s="55">
        <f>IF('04_DATA'!A179="","",IF('04_DATA'!D179&lt;PERCENTILE('04_DATA'!$D$2:$D$1001,0.05),"FLAG","ok"))</f>
        <v/>
      </c>
      <c r="H182" s="55">
        <f>IF('04_DATA'!A179="","",IF(OR(C182="EXCLUDE",F182="EXCLUDE"),"Exclude under pre-specified rule",IF(E182&gt;0.15,"Exclude: &gt;15% missing",IF(G182="FLAG","Retain; test in robustness battery","Retain"))))</f>
        <v/>
      </c>
    </row>
    <row r="183">
      <c r="A183" s="55" t="n">
        <v>180</v>
      </c>
      <c r="B183" s="55">
        <f>IF('04_DATA'!A180="","",'04_DATA'!A180)</f>
        <v/>
      </c>
      <c r="C183" s="55">
        <f>IF('04_DATA'!A180="","",IF(AND('04_DATA'!G180=1,'04_DATA'!H180=1,'04_DATA'!I180&gt;=3),"eligible","EXCLUDE"))</f>
        <v/>
      </c>
      <c r="D183" s="55">
        <f>IF('04_DATA'!A180="","",37-COUNT('04_DATA'!$K180:$AU180))</f>
        <v/>
      </c>
      <c r="E183" s="63">
        <f>IF('04_DATA'!A180="","",(37-COUNT('04_DATA'!$K180:$AU180))/37)</f>
        <v/>
      </c>
      <c r="F183" s="55">
        <f>IF('04_DATA'!A180="","",IF(AND(COUNT('04_DATA'!$K180:$AU180)=37,COUNTIF('04_DATA'!$K180:$AU180,INDEX('04_DATA'!$K180:$AU180,1))=37),"EXCLUDE","ok"))</f>
        <v/>
      </c>
      <c r="G183" s="55">
        <f>IF('04_DATA'!A180="","",IF('04_DATA'!D180&lt;PERCENTILE('04_DATA'!$D$2:$D$1001,0.05),"FLAG","ok"))</f>
        <v/>
      </c>
      <c r="H183" s="55">
        <f>IF('04_DATA'!A180="","",IF(OR(C183="EXCLUDE",F183="EXCLUDE"),"Exclude under pre-specified rule",IF(E183&gt;0.15,"Exclude: &gt;15% missing",IF(G183="FLAG","Retain; test in robustness battery","Retain"))))</f>
        <v/>
      </c>
    </row>
    <row r="184">
      <c r="A184" s="55" t="n">
        <v>181</v>
      </c>
      <c r="B184" s="55">
        <f>IF('04_DATA'!A181="","",'04_DATA'!A181)</f>
        <v/>
      </c>
      <c r="C184" s="55">
        <f>IF('04_DATA'!A181="","",IF(AND('04_DATA'!G181=1,'04_DATA'!H181=1,'04_DATA'!I181&gt;=3),"eligible","EXCLUDE"))</f>
        <v/>
      </c>
      <c r="D184" s="55">
        <f>IF('04_DATA'!A181="","",37-COUNT('04_DATA'!$K181:$AU181))</f>
        <v/>
      </c>
      <c r="E184" s="63">
        <f>IF('04_DATA'!A181="","",(37-COUNT('04_DATA'!$K181:$AU181))/37)</f>
        <v/>
      </c>
      <c r="F184" s="55">
        <f>IF('04_DATA'!A181="","",IF(AND(COUNT('04_DATA'!$K181:$AU181)=37,COUNTIF('04_DATA'!$K181:$AU181,INDEX('04_DATA'!$K181:$AU181,1))=37),"EXCLUDE","ok"))</f>
        <v/>
      </c>
      <c r="G184" s="55">
        <f>IF('04_DATA'!A181="","",IF('04_DATA'!D181&lt;PERCENTILE('04_DATA'!$D$2:$D$1001,0.05),"FLAG","ok"))</f>
        <v/>
      </c>
      <c r="H184" s="55">
        <f>IF('04_DATA'!A181="","",IF(OR(C184="EXCLUDE",F184="EXCLUDE"),"Exclude under pre-specified rule",IF(E184&gt;0.15,"Exclude: &gt;15% missing",IF(G184="FLAG","Retain; test in robustness battery","Retain"))))</f>
        <v/>
      </c>
    </row>
    <row r="185">
      <c r="A185" s="55" t="n">
        <v>182</v>
      </c>
      <c r="B185" s="55">
        <f>IF('04_DATA'!A182="","",'04_DATA'!A182)</f>
        <v/>
      </c>
      <c r="C185" s="55">
        <f>IF('04_DATA'!A182="","",IF(AND('04_DATA'!G182=1,'04_DATA'!H182=1,'04_DATA'!I182&gt;=3),"eligible","EXCLUDE"))</f>
        <v/>
      </c>
      <c r="D185" s="55">
        <f>IF('04_DATA'!A182="","",37-COUNT('04_DATA'!$K182:$AU182))</f>
        <v/>
      </c>
      <c r="E185" s="63">
        <f>IF('04_DATA'!A182="","",(37-COUNT('04_DATA'!$K182:$AU182))/37)</f>
        <v/>
      </c>
      <c r="F185" s="55">
        <f>IF('04_DATA'!A182="","",IF(AND(COUNT('04_DATA'!$K182:$AU182)=37,COUNTIF('04_DATA'!$K182:$AU182,INDEX('04_DATA'!$K182:$AU182,1))=37),"EXCLUDE","ok"))</f>
        <v/>
      </c>
      <c r="G185" s="55">
        <f>IF('04_DATA'!A182="","",IF('04_DATA'!D182&lt;PERCENTILE('04_DATA'!$D$2:$D$1001,0.05),"FLAG","ok"))</f>
        <v/>
      </c>
      <c r="H185" s="55">
        <f>IF('04_DATA'!A182="","",IF(OR(C185="EXCLUDE",F185="EXCLUDE"),"Exclude under pre-specified rule",IF(E185&gt;0.15,"Exclude: &gt;15% missing",IF(G185="FLAG","Retain; test in robustness battery","Retain"))))</f>
        <v/>
      </c>
    </row>
    <row r="186">
      <c r="A186" s="55" t="n">
        <v>183</v>
      </c>
      <c r="B186" s="55">
        <f>IF('04_DATA'!A183="","",'04_DATA'!A183)</f>
        <v/>
      </c>
      <c r="C186" s="55">
        <f>IF('04_DATA'!A183="","",IF(AND('04_DATA'!G183=1,'04_DATA'!H183=1,'04_DATA'!I183&gt;=3),"eligible","EXCLUDE"))</f>
        <v/>
      </c>
      <c r="D186" s="55">
        <f>IF('04_DATA'!A183="","",37-COUNT('04_DATA'!$K183:$AU183))</f>
        <v/>
      </c>
      <c r="E186" s="63">
        <f>IF('04_DATA'!A183="","",(37-COUNT('04_DATA'!$K183:$AU183))/37)</f>
        <v/>
      </c>
      <c r="F186" s="55">
        <f>IF('04_DATA'!A183="","",IF(AND(COUNT('04_DATA'!$K183:$AU183)=37,COUNTIF('04_DATA'!$K183:$AU183,INDEX('04_DATA'!$K183:$AU183,1))=37),"EXCLUDE","ok"))</f>
        <v/>
      </c>
      <c r="G186" s="55">
        <f>IF('04_DATA'!A183="","",IF('04_DATA'!D183&lt;PERCENTILE('04_DATA'!$D$2:$D$1001,0.05),"FLAG","ok"))</f>
        <v/>
      </c>
      <c r="H186" s="55">
        <f>IF('04_DATA'!A183="","",IF(OR(C186="EXCLUDE",F186="EXCLUDE"),"Exclude under pre-specified rule",IF(E186&gt;0.15,"Exclude: &gt;15% missing",IF(G186="FLAG","Retain; test in robustness battery","Retain"))))</f>
        <v/>
      </c>
    </row>
    <row r="187">
      <c r="A187" s="55" t="n">
        <v>184</v>
      </c>
      <c r="B187" s="55">
        <f>IF('04_DATA'!A184="","",'04_DATA'!A184)</f>
        <v/>
      </c>
      <c r="C187" s="55">
        <f>IF('04_DATA'!A184="","",IF(AND('04_DATA'!G184=1,'04_DATA'!H184=1,'04_DATA'!I184&gt;=3),"eligible","EXCLUDE"))</f>
        <v/>
      </c>
      <c r="D187" s="55">
        <f>IF('04_DATA'!A184="","",37-COUNT('04_DATA'!$K184:$AU184))</f>
        <v/>
      </c>
      <c r="E187" s="63">
        <f>IF('04_DATA'!A184="","",(37-COUNT('04_DATA'!$K184:$AU184))/37)</f>
        <v/>
      </c>
      <c r="F187" s="55">
        <f>IF('04_DATA'!A184="","",IF(AND(COUNT('04_DATA'!$K184:$AU184)=37,COUNTIF('04_DATA'!$K184:$AU184,INDEX('04_DATA'!$K184:$AU184,1))=37),"EXCLUDE","ok"))</f>
        <v/>
      </c>
      <c r="G187" s="55">
        <f>IF('04_DATA'!A184="","",IF('04_DATA'!D184&lt;PERCENTILE('04_DATA'!$D$2:$D$1001,0.05),"FLAG","ok"))</f>
        <v/>
      </c>
      <c r="H187" s="55">
        <f>IF('04_DATA'!A184="","",IF(OR(C187="EXCLUDE",F187="EXCLUDE"),"Exclude under pre-specified rule",IF(E187&gt;0.15,"Exclude: &gt;15% missing",IF(G187="FLAG","Retain; test in robustness battery","Retain"))))</f>
        <v/>
      </c>
    </row>
    <row r="188">
      <c r="A188" s="55" t="n">
        <v>185</v>
      </c>
      <c r="B188" s="55">
        <f>IF('04_DATA'!A185="","",'04_DATA'!A185)</f>
        <v/>
      </c>
      <c r="C188" s="55">
        <f>IF('04_DATA'!A185="","",IF(AND('04_DATA'!G185=1,'04_DATA'!H185=1,'04_DATA'!I185&gt;=3),"eligible","EXCLUDE"))</f>
        <v/>
      </c>
      <c r="D188" s="55">
        <f>IF('04_DATA'!A185="","",37-COUNT('04_DATA'!$K185:$AU185))</f>
        <v/>
      </c>
      <c r="E188" s="63">
        <f>IF('04_DATA'!A185="","",(37-COUNT('04_DATA'!$K185:$AU185))/37)</f>
        <v/>
      </c>
      <c r="F188" s="55">
        <f>IF('04_DATA'!A185="","",IF(AND(COUNT('04_DATA'!$K185:$AU185)=37,COUNTIF('04_DATA'!$K185:$AU185,INDEX('04_DATA'!$K185:$AU185,1))=37),"EXCLUDE","ok"))</f>
        <v/>
      </c>
      <c r="G188" s="55">
        <f>IF('04_DATA'!A185="","",IF('04_DATA'!D185&lt;PERCENTILE('04_DATA'!$D$2:$D$1001,0.05),"FLAG","ok"))</f>
        <v/>
      </c>
      <c r="H188" s="55">
        <f>IF('04_DATA'!A185="","",IF(OR(C188="EXCLUDE",F188="EXCLUDE"),"Exclude under pre-specified rule",IF(E188&gt;0.15,"Exclude: &gt;15% missing",IF(G188="FLAG","Retain; test in robustness battery","Retain"))))</f>
        <v/>
      </c>
    </row>
    <row r="189">
      <c r="A189" s="55" t="n">
        <v>186</v>
      </c>
      <c r="B189" s="55">
        <f>IF('04_DATA'!A186="","",'04_DATA'!A186)</f>
        <v/>
      </c>
      <c r="C189" s="55">
        <f>IF('04_DATA'!A186="","",IF(AND('04_DATA'!G186=1,'04_DATA'!H186=1,'04_DATA'!I186&gt;=3),"eligible","EXCLUDE"))</f>
        <v/>
      </c>
      <c r="D189" s="55">
        <f>IF('04_DATA'!A186="","",37-COUNT('04_DATA'!$K186:$AU186))</f>
        <v/>
      </c>
      <c r="E189" s="63">
        <f>IF('04_DATA'!A186="","",(37-COUNT('04_DATA'!$K186:$AU186))/37)</f>
        <v/>
      </c>
      <c r="F189" s="55">
        <f>IF('04_DATA'!A186="","",IF(AND(COUNT('04_DATA'!$K186:$AU186)=37,COUNTIF('04_DATA'!$K186:$AU186,INDEX('04_DATA'!$K186:$AU186,1))=37),"EXCLUDE","ok"))</f>
        <v/>
      </c>
      <c r="G189" s="55">
        <f>IF('04_DATA'!A186="","",IF('04_DATA'!D186&lt;PERCENTILE('04_DATA'!$D$2:$D$1001,0.05),"FLAG","ok"))</f>
        <v/>
      </c>
      <c r="H189" s="55">
        <f>IF('04_DATA'!A186="","",IF(OR(C189="EXCLUDE",F189="EXCLUDE"),"Exclude under pre-specified rule",IF(E189&gt;0.15,"Exclude: &gt;15% missing",IF(G189="FLAG","Retain; test in robustness battery","Retain"))))</f>
        <v/>
      </c>
    </row>
    <row r="190">
      <c r="A190" s="55" t="n">
        <v>187</v>
      </c>
      <c r="B190" s="55">
        <f>IF('04_DATA'!A187="","",'04_DATA'!A187)</f>
        <v/>
      </c>
      <c r="C190" s="55">
        <f>IF('04_DATA'!A187="","",IF(AND('04_DATA'!G187=1,'04_DATA'!H187=1,'04_DATA'!I187&gt;=3),"eligible","EXCLUDE"))</f>
        <v/>
      </c>
      <c r="D190" s="55">
        <f>IF('04_DATA'!A187="","",37-COUNT('04_DATA'!$K187:$AU187))</f>
        <v/>
      </c>
      <c r="E190" s="63">
        <f>IF('04_DATA'!A187="","",(37-COUNT('04_DATA'!$K187:$AU187))/37)</f>
        <v/>
      </c>
      <c r="F190" s="55">
        <f>IF('04_DATA'!A187="","",IF(AND(COUNT('04_DATA'!$K187:$AU187)=37,COUNTIF('04_DATA'!$K187:$AU187,INDEX('04_DATA'!$K187:$AU187,1))=37),"EXCLUDE","ok"))</f>
        <v/>
      </c>
      <c r="G190" s="55">
        <f>IF('04_DATA'!A187="","",IF('04_DATA'!D187&lt;PERCENTILE('04_DATA'!$D$2:$D$1001,0.05),"FLAG","ok"))</f>
        <v/>
      </c>
      <c r="H190" s="55">
        <f>IF('04_DATA'!A187="","",IF(OR(C190="EXCLUDE",F190="EXCLUDE"),"Exclude under pre-specified rule",IF(E190&gt;0.15,"Exclude: &gt;15% missing",IF(G190="FLAG","Retain; test in robustness battery","Retain"))))</f>
        <v/>
      </c>
    </row>
    <row r="191">
      <c r="A191" s="55" t="n">
        <v>188</v>
      </c>
      <c r="B191" s="55">
        <f>IF('04_DATA'!A188="","",'04_DATA'!A188)</f>
        <v/>
      </c>
      <c r="C191" s="55">
        <f>IF('04_DATA'!A188="","",IF(AND('04_DATA'!G188=1,'04_DATA'!H188=1,'04_DATA'!I188&gt;=3),"eligible","EXCLUDE"))</f>
        <v/>
      </c>
      <c r="D191" s="55">
        <f>IF('04_DATA'!A188="","",37-COUNT('04_DATA'!$K188:$AU188))</f>
        <v/>
      </c>
      <c r="E191" s="63">
        <f>IF('04_DATA'!A188="","",(37-COUNT('04_DATA'!$K188:$AU188))/37)</f>
        <v/>
      </c>
      <c r="F191" s="55">
        <f>IF('04_DATA'!A188="","",IF(AND(COUNT('04_DATA'!$K188:$AU188)=37,COUNTIF('04_DATA'!$K188:$AU188,INDEX('04_DATA'!$K188:$AU188,1))=37),"EXCLUDE","ok"))</f>
        <v/>
      </c>
      <c r="G191" s="55">
        <f>IF('04_DATA'!A188="","",IF('04_DATA'!D188&lt;PERCENTILE('04_DATA'!$D$2:$D$1001,0.05),"FLAG","ok"))</f>
        <v/>
      </c>
      <c r="H191" s="55">
        <f>IF('04_DATA'!A188="","",IF(OR(C191="EXCLUDE",F191="EXCLUDE"),"Exclude under pre-specified rule",IF(E191&gt;0.15,"Exclude: &gt;15% missing",IF(G191="FLAG","Retain; test in robustness battery","Retain"))))</f>
        <v/>
      </c>
    </row>
    <row r="192">
      <c r="A192" s="55" t="n">
        <v>189</v>
      </c>
      <c r="B192" s="55">
        <f>IF('04_DATA'!A189="","",'04_DATA'!A189)</f>
        <v/>
      </c>
      <c r="C192" s="55">
        <f>IF('04_DATA'!A189="","",IF(AND('04_DATA'!G189=1,'04_DATA'!H189=1,'04_DATA'!I189&gt;=3),"eligible","EXCLUDE"))</f>
        <v/>
      </c>
      <c r="D192" s="55">
        <f>IF('04_DATA'!A189="","",37-COUNT('04_DATA'!$K189:$AU189))</f>
        <v/>
      </c>
      <c r="E192" s="63">
        <f>IF('04_DATA'!A189="","",(37-COUNT('04_DATA'!$K189:$AU189))/37)</f>
        <v/>
      </c>
      <c r="F192" s="55">
        <f>IF('04_DATA'!A189="","",IF(AND(COUNT('04_DATA'!$K189:$AU189)=37,COUNTIF('04_DATA'!$K189:$AU189,INDEX('04_DATA'!$K189:$AU189,1))=37),"EXCLUDE","ok"))</f>
        <v/>
      </c>
      <c r="G192" s="55">
        <f>IF('04_DATA'!A189="","",IF('04_DATA'!D189&lt;PERCENTILE('04_DATA'!$D$2:$D$1001,0.05),"FLAG","ok"))</f>
        <v/>
      </c>
      <c r="H192" s="55">
        <f>IF('04_DATA'!A189="","",IF(OR(C192="EXCLUDE",F192="EXCLUDE"),"Exclude under pre-specified rule",IF(E192&gt;0.15,"Exclude: &gt;15% missing",IF(G192="FLAG","Retain; test in robustness battery","Retain"))))</f>
        <v/>
      </c>
    </row>
    <row r="193">
      <c r="A193" s="55" t="n">
        <v>190</v>
      </c>
      <c r="B193" s="55">
        <f>IF('04_DATA'!A190="","",'04_DATA'!A190)</f>
        <v/>
      </c>
      <c r="C193" s="55">
        <f>IF('04_DATA'!A190="","",IF(AND('04_DATA'!G190=1,'04_DATA'!H190=1,'04_DATA'!I190&gt;=3),"eligible","EXCLUDE"))</f>
        <v/>
      </c>
      <c r="D193" s="55">
        <f>IF('04_DATA'!A190="","",37-COUNT('04_DATA'!$K190:$AU190))</f>
        <v/>
      </c>
      <c r="E193" s="63">
        <f>IF('04_DATA'!A190="","",(37-COUNT('04_DATA'!$K190:$AU190))/37)</f>
        <v/>
      </c>
      <c r="F193" s="55">
        <f>IF('04_DATA'!A190="","",IF(AND(COUNT('04_DATA'!$K190:$AU190)=37,COUNTIF('04_DATA'!$K190:$AU190,INDEX('04_DATA'!$K190:$AU190,1))=37),"EXCLUDE","ok"))</f>
        <v/>
      </c>
      <c r="G193" s="55">
        <f>IF('04_DATA'!A190="","",IF('04_DATA'!D190&lt;PERCENTILE('04_DATA'!$D$2:$D$1001,0.05),"FLAG","ok"))</f>
        <v/>
      </c>
      <c r="H193" s="55">
        <f>IF('04_DATA'!A190="","",IF(OR(C193="EXCLUDE",F193="EXCLUDE"),"Exclude under pre-specified rule",IF(E193&gt;0.15,"Exclude: &gt;15% missing",IF(G193="FLAG","Retain; test in robustness battery","Retain"))))</f>
        <v/>
      </c>
    </row>
    <row r="194">
      <c r="A194" s="55" t="n">
        <v>191</v>
      </c>
      <c r="B194" s="55">
        <f>IF('04_DATA'!A191="","",'04_DATA'!A191)</f>
        <v/>
      </c>
      <c r="C194" s="55">
        <f>IF('04_DATA'!A191="","",IF(AND('04_DATA'!G191=1,'04_DATA'!H191=1,'04_DATA'!I191&gt;=3),"eligible","EXCLUDE"))</f>
        <v/>
      </c>
      <c r="D194" s="55">
        <f>IF('04_DATA'!A191="","",37-COUNT('04_DATA'!$K191:$AU191))</f>
        <v/>
      </c>
      <c r="E194" s="63">
        <f>IF('04_DATA'!A191="","",(37-COUNT('04_DATA'!$K191:$AU191))/37)</f>
        <v/>
      </c>
      <c r="F194" s="55">
        <f>IF('04_DATA'!A191="","",IF(AND(COUNT('04_DATA'!$K191:$AU191)=37,COUNTIF('04_DATA'!$K191:$AU191,INDEX('04_DATA'!$K191:$AU191,1))=37),"EXCLUDE","ok"))</f>
        <v/>
      </c>
      <c r="G194" s="55">
        <f>IF('04_DATA'!A191="","",IF('04_DATA'!D191&lt;PERCENTILE('04_DATA'!$D$2:$D$1001,0.05),"FLAG","ok"))</f>
        <v/>
      </c>
      <c r="H194" s="55">
        <f>IF('04_DATA'!A191="","",IF(OR(C194="EXCLUDE",F194="EXCLUDE"),"Exclude under pre-specified rule",IF(E194&gt;0.15,"Exclude: &gt;15% missing",IF(G194="FLAG","Retain; test in robustness battery","Retain"))))</f>
        <v/>
      </c>
    </row>
    <row r="195">
      <c r="A195" s="55" t="n">
        <v>192</v>
      </c>
      <c r="B195" s="55">
        <f>IF('04_DATA'!A192="","",'04_DATA'!A192)</f>
        <v/>
      </c>
      <c r="C195" s="55">
        <f>IF('04_DATA'!A192="","",IF(AND('04_DATA'!G192=1,'04_DATA'!H192=1,'04_DATA'!I192&gt;=3),"eligible","EXCLUDE"))</f>
        <v/>
      </c>
      <c r="D195" s="55">
        <f>IF('04_DATA'!A192="","",37-COUNT('04_DATA'!$K192:$AU192))</f>
        <v/>
      </c>
      <c r="E195" s="63">
        <f>IF('04_DATA'!A192="","",(37-COUNT('04_DATA'!$K192:$AU192))/37)</f>
        <v/>
      </c>
      <c r="F195" s="55">
        <f>IF('04_DATA'!A192="","",IF(AND(COUNT('04_DATA'!$K192:$AU192)=37,COUNTIF('04_DATA'!$K192:$AU192,INDEX('04_DATA'!$K192:$AU192,1))=37),"EXCLUDE","ok"))</f>
        <v/>
      </c>
      <c r="G195" s="55">
        <f>IF('04_DATA'!A192="","",IF('04_DATA'!D192&lt;PERCENTILE('04_DATA'!$D$2:$D$1001,0.05),"FLAG","ok"))</f>
        <v/>
      </c>
      <c r="H195" s="55">
        <f>IF('04_DATA'!A192="","",IF(OR(C195="EXCLUDE",F195="EXCLUDE"),"Exclude under pre-specified rule",IF(E195&gt;0.15,"Exclude: &gt;15% missing",IF(G195="FLAG","Retain; test in robustness battery","Retain"))))</f>
        <v/>
      </c>
    </row>
    <row r="196">
      <c r="A196" s="55" t="n">
        <v>193</v>
      </c>
      <c r="B196" s="55">
        <f>IF('04_DATA'!A193="","",'04_DATA'!A193)</f>
        <v/>
      </c>
      <c r="C196" s="55">
        <f>IF('04_DATA'!A193="","",IF(AND('04_DATA'!G193=1,'04_DATA'!H193=1,'04_DATA'!I193&gt;=3),"eligible","EXCLUDE"))</f>
        <v/>
      </c>
      <c r="D196" s="55">
        <f>IF('04_DATA'!A193="","",37-COUNT('04_DATA'!$K193:$AU193))</f>
        <v/>
      </c>
      <c r="E196" s="63">
        <f>IF('04_DATA'!A193="","",(37-COUNT('04_DATA'!$K193:$AU193))/37)</f>
        <v/>
      </c>
      <c r="F196" s="55">
        <f>IF('04_DATA'!A193="","",IF(AND(COUNT('04_DATA'!$K193:$AU193)=37,COUNTIF('04_DATA'!$K193:$AU193,INDEX('04_DATA'!$K193:$AU193,1))=37),"EXCLUDE","ok"))</f>
        <v/>
      </c>
      <c r="G196" s="55">
        <f>IF('04_DATA'!A193="","",IF('04_DATA'!D193&lt;PERCENTILE('04_DATA'!$D$2:$D$1001,0.05),"FLAG","ok"))</f>
        <v/>
      </c>
      <c r="H196" s="55">
        <f>IF('04_DATA'!A193="","",IF(OR(C196="EXCLUDE",F196="EXCLUDE"),"Exclude under pre-specified rule",IF(E196&gt;0.15,"Exclude: &gt;15% missing",IF(G196="FLAG","Retain; test in robustness battery","Retain"))))</f>
        <v/>
      </c>
    </row>
    <row r="197">
      <c r="A197" s="55" t="n">
        <v>194</v>
      </c>
      <c r="B197" s="55">
        <f>IF('04_DATA'!A194="","",'04_DATA'!A194)</f>
        <v/>
      </c>
      <c r="C197" s="55">
        <f>IF('04_DATA'!A194="","",IF(AND('04_DATA'!G194=1,'04_DATA'!H194=1,'04_DATA'!I194&gt;=3),"eligible","EXCLUDE"))</f>
        <v/>
      </c>
      <c r="D197" s="55">
        <f>IF('04_DATA'!A194="","",37-COUNT('04_DATA'!$K194:$AU194))</f>
        <v/>
      </c>
      <c r="E197" s="63">
        <f>IF('04_DATA'!A194="","",(37-COUNT('04_DATA'!$K194:$AU194))/37)</f>
        <v/>
      </c>
      <c r="F197" s="55">
        <f>IF('04_DATA'!A194="","",IF(AND(COUNT('04_DATA'!$K194:$AU194)=37,COUNTIF('04_DATA'!$K194:$AU194,INDEX('04_DATA'!$K194:$AU194,1))=37),"EXCLUDE","ok"))</f>
        <v/>
      </c>
      <c r="G197" s="55">
        <f>IF('04_DATA'!A194="","",IF('04_DATA'!D194&lt;PERCENTILE('04_DATA'!$D$2:$D$1001,0.05),"FLAG","ok"))</f>
        <v/>
      </c>
      <c r="H197" s="55">
        <f>IF('04_DATA'!A194="","",IF(OR(C197="EXCLUDE",F197="EXCLUDE"),"Exclude under pre-specified rule",IF(E197&gt;0.15,"Exclude: &gt;15% missing",IF(G197="FLAG","Retain; test in robustness battery","Retain"))))</f>
        <v/>
      </c>
    </row>
    <row r="198">
      <c r="A198" s="55" t="n">
        <v>195</v>
      </c>
      <c r="B198" s="55">
        <f>IF('04_DATA'!A195="","",'04_DATA'!A195)</f>
        <v/>
      </c>
      <c r="C198" s="55">
        <f>IF('04_DATA'!A195="","",IF(AND('04_DATA'!G195=1,'04_DATA'!H195=1,'04_DATA'!I195&gt;=3),"eligible","EXCLUDE"))</f>
        <v/>
      </c>
      <c r="D198" s="55">
        <f>IF('04_DATA'!A195="","",37-COUNT('04_DATA'!$K195:$AU195))</f>
        <v/>
      </c>
      <c r="E198" s="63">
        <f>IF('04_DATA'!A195="","",(37-COUNT('04_DATA'!$K195:$AU195))/37)</f>
        <v/>
      </c>
      <c r="F198" s="55">
        <f>IF('04_DATA'!A195="","",IF(AND(COUNT('04_DATA'!$K195:$AU195)=37,COUNTIF('04_DATA'!$K195:$AU195,INDEX('04_DATA'!$K195:$AU195,1))=37),"EXCLUDE","ok"))</f>
        <v/>
      </c>
      <c r="G198" s="55">
        <f>IF('04_DATA'!A195="","",IF('04_DATA'!D195&lt;PERCENTILE('04_DATA'!$D$2:$D$1001,0.05),"FLAG","ok"))</f>
        <v/>
      </c>
      <c r="H198" s="55">
        <f>IF('04_DATA'!A195="","",IF(OR(C198="EXCLUDE",F198="EXCLUDE"),"Exclude under pre-specified rule",IF(E198&gt;0.15,"Exclude: &gt;15% missing",IF(G198="FLAG","Retain; test in robustness battery","Retain"))))</f>
        <v/>
      </c>
    </row>
    <row r="199">
      <c r="A199" s="55" t="n">
        <v>196</v>
      </c>
      <c r="B199" s="55">
        <f>IF('04_DATA'!A196="","",'04_DATA'!A196)</f>
        <v/>
      </c>
      <c r="C199" s="55">
        <f>IF('04_DATA'!A196="","",IF(AND('04_DATA'!G196=1,'04_DATA'!H196=1,'04_DATA'!I196&gt;=3),"eligible","EXCLUDE"))</f>
        <v/>
      </c>
      <c r="D199" s="55">
        <f>IF('04_DATA'!A196="","",37-COUNT('04_DATA'!$K196:$AU196))</f>
        <v/>
      </c>
      <c r="E199" s="63">
        <f>IF('04_DATA'!A196="","",(37-COUNT('04_DATA'!$K196:$AU196))/37)</f>
        <v/>
      </c>
      <c r="F199" s="55">
        <f>IF('04_DATA'!A196="","",IF(AND(COUNT('04_DATA'!$K196:$AU196)=37,COUNTIF('04_DATA'!$K196:$AU196,INDEX('04_DATA'!$K196:$AU196,1))=37),"EXCLUDE","ok"))</f>
        <v/>
      </c>
      <c r="G199" s="55">
        <f>IF('04_DATA'!A196="","",IF('04_DATA'!D196&lt;PERCENTILE('04_DATA'!$D$2:$D$1001,0.05),"FLAG","ok"))</f>
        <v/>
      </c>
      <c r="H199" s="55">
        <f>IF('04_DATA'!A196="","",IF(OR(C199="EXCLUDE",F199="EXCLUDE"),"Exclude under pre-specified rule",IF(E199&gt;0.15,"Exclude: &gt;15% missing",IF(G199="FLAG","Retain; test in robustness battery","Retain"))))</f>
        <v/>
      </c>
    </row>
    <row r="200">
      <c r="A200" s="55" t="n">
        <v>197</v>
      </c>
      <c r="B200" s="55">
        <f>IF('04_DATA'!A197="","",'04_DATA'!A197)</f>
        <v/>
      </c>
      <c r="C200" s="55">
        <f>IF('04_DATA'!A197="","",IF(AND('04_DATA'!G197=1,'04_DATA'!H197=1,'04_DATA'!I197&gt;=3),"eligible","EXCLUDE"))</f>
        <v/>
      </c>
      <c r="D200" s="55">
        <f>IF('04_DATA'!A197="","",37-COUNT('04_DATA'!$K197:$AU197))</f>
        <v/>
      </c>
      <c r="E200" s="63">
        <f>IF('04_DATA'!A197="","",(37-COUNT('04_DATA'!$K197:$AU197))/37)</f>
        <v/>
      </c>
      <c r="F200" s="55">
        <f>IF('04_DATA'!A197="","",IF(AND(COUNT('04_DATA'!$K197:$AU197)=37,COUNTIF('04_DATA'!$K197:$AU197,INDEX('04_DATA'!$K197:$AU197,1))=37),"EXCLUDE","ok"))</f>
        <v/>
      </c>
      <c r="G200" s="55">
        <f>IF('04_DATA'!A197="","",IF('04_DATA'!D197&lt;PERCENTILE('04_DATA'!$D$2:$D$1001,0.05),"FLAG","ok"))</f>
        <v/>
      </c>
      <c r="H200" s="55">
        <f>IF('04_DATA'!A197="","",IF(OR(C200="EXCLUDE",F200="EXCLUDE"),"Exclude under pre-specified rule",IF(E200&gt;0.15,"Exclude: &gt;15% missing",IF(G200="FLAG","Retain; test in robustness battery","Retain"))))</f>
        <v/>
      </c>
    </row>
    <row r="201">
      <c r="A201" s="55" t="n">
        <v>198</v>
      </c>
      <c r="B201" s="55">
        <f>IF('04_DATA'!A198="","",'04_DATA'!A198)</f>
        <v/>
      </c>
      <c r="C201" s="55">
        <f>IF('04_DATA'!A198="","",IF(AND('04_DATA'!G198=1,'04_DATA'!H198=1,'04_DATA'!I198&gt;=3),"eligible","EXCLUDE"))</f>
        <v/>
      </c>
      <c r="D201" s="55">
        <f>IF('04_DATA'!A198="","",37-COUNT('04_DATA'!$K198:$AU198))</f>
        <v/>
      </c>
      <c r="E201" s="63">
        <f>IF('04_DATA'!A198="","",(37-COUNT('04_DATA'!$K198:$AU198))/37)</f>
        <v/>
      </c>
      <c r="F201" s="55">
        <f>IF('04_DATA'!A198="","",IF(AND(COUNT('04_DATA'!$K198:$AU198)=37,COUNTIF('04_DATA'!$K198:$AU198,INDEX('04_DATA'!$K198:$AU198,1))=37),"EXCLUDE","ok"))</f>
        <v/>
      </c>
      <c r="G201" s="55">
        <f>IF('04_DATA'!A198="","",IF('04_DATA'!D198&lt;PERCENTILE('04_DATA'!$D$2:$D$1001,0.05),"FLAG","ok"))</f>
        <v/>
      </c>
      <c r="H201" s="55">
        <f>IF('04_DATA'!A198="","",IF(OR(C201="EXCLUDE",F201="EXCLUDE"),"Exclude under pre-specified rule",IF(E201&gt;0.15,"Exclude: &gt;15% missing",IF(G201="FLAG","Retain; test in robustness battery","Retain"))))</f>
        <v/>
      </c>
    </row>
    <row r="202">
      <c r="A202" s="55" t="n">
        <v>199</v>
      </c>
      <c r="B202" s="55">
        <f>IF('04_DATA'!A199="","",'04_DATA'!A199)</f>
        <v/>
      </c>
      <c r="C202" s="55">
        <f>IF('04_DATA'!A199="","",IF(AND('04_DATA'!G199=1,'04_DATA'!H199=1,'04_DATA'!I199&gt;=3),"eligible","EXCLUDE"))</f>
        <v/>
      </c>
      <c r="D202" s="55">
        <f>IF('04_DATA'!A199="","",37-COUNT('04_DATA'!$K199:$AU199))</f>
        <v/>
      </c>
      <c r="E202" s="63">
        <f>IF('04_DATA'!A199="","",(37-COUNT('04_DATA'!$K199:$AU199))/37)</f>
        <v/>
      </c>
      <c r="F202" s="55">
        <f>IF('04_DATA'!A199="","",IF(AND(COUNT('04_DATA'!$K199:$AU199)=37,COUNTIF('04_DATA'!$K199:$AU199,INDEX('04_DATA'!$K199:$AU199,1))=37),"EXCLUDE","ok"))</f>
        <v/>
      </c>
      <c r="G202" s="55">
        <f>IF('04_DATA'!A199="","",IF('04_DATA'!D199&lt;PERCENTILE('04_DATA'!$D$2:$D$1001,0.05),"FLAG","ok"))</f>
        <v/>
      </c>
      <c r="H202" s="55">
        <f>IF('04_DATA'!A199="","",IF(OR(C202="EXCLUDE",F202="EXCLUDE"),"Exclude under pre-specified rule",IF(E202&gt;0.15,"Exclude: &gt;15% missing",IF(G202="FLAG","Retain; test in robustness battery","Retain"))))</f>
        <v/>
      </c>
    </row>
    <row r="203">
      <c r="A203" s="55" t="n">
        <v>200</v>
      </c>
      <c r="B203" s="55">
        <f>IF('04_DATA'!A200="","",'04_DATA'!A200)</f>
        <v/>
      </c>
      <c r="C203" s="55">
        <f>IF('04_DATA'!A200="","",IF(AND('04_DATA'!G200=1,'04_DATA'!H200=1,'04_DATA'!I200&gt;=3),"eligible","EXCLUDE"))</f>
        <v/>
      </c>
      <c r="D203" s="55">
        <f>IF('04_DATA'!A200="","",37-COUNT('04_DATA'!$K200:$AU200))</f>
        <v/>
      </c>
      <c r="E203" s="63">
        <f>IF('04_DATA'!A200="","",(37-COUNT('04_DATA'!$K200:$AU200))/37)</f>
        <v/>
      </c>
      <c r="F203" s="55">
        <f>IF('04_DATA'!A200="","",IF(AND(COUNT('04_DATA'!$K200:$AU200)=37,COUNTIF('04_DATA'!$K200:$AU200,INDEX('04_DATA'!$K200:$AU200,1))=37),"EXCLUDE","ok"))</f>
        <v/>
      </c>
      <c r="G203" s="55">
        <f>IF('04_DATA'!A200="","",IF('04_DATA'!D200&lt;PERCENTILE('04_DATA'!$D$2:$D$1001,0.05),"FLAG","ok"))</f>
        <v/>
      </c>
      <c r="H203" s="55">
        <f>IF('04_DATA'!A200="","",IF(OR(C203="EXCLUDE",F203="EXCLUDE"),"Exclude under pre-specified rule",IF(E203&gt;0.15,"Exclude: &gt;15% missing",IF(G203="FLAG","Retain; test in robustness battery","Retain"))))</f>
        <v/>
      </c>
    </row>
    <row r="204">
      <c r="A204" s="55" t="n">
        <v>201</v>
      </c>
      <c r="B204" s="55">
        <f>IF('04_DATA'!A201="","",'04_DATA'!A201)</f>
        <v/>
      </c>
      <c r="C204" s="55">
        <f>IF('04_DATA'!A201="","",IF(AND('04_DATA'!G201=1,'04_DATA'!H201=1,'04_DATA'!I201&gt;=3),"eligible","EXCLUDE"))</f>
        <v/>
      </c>
      <c r="D204" s="55">
        <f>IF('04_DATA'!A201="","",37-COUNT('04_DATA'!$K201:$AU201))</f>
        <v/>
      </c>
      <c r="E204" s="63">
        <f>IF('04_DATA'!A201="","",(37-COUNT('04_DATA'!$K201:$AU201))/37)</f>
        <v/>
      </c>
      <c r="F204" s="55">
        <f>IF('04_DATA'!A201="","",IF(AND(COUNT('04_DATA'!$K201:$AU201)=37,COUNTIF('04_DATA'!$K201:$AU201,INDEX('04_DATA'!$K201:$AU201,1))=37),"EXCLUDE","ok"))</f>
        <v/>
      </c>
      <c r="G204" s="55">
        <f>IF('04_DATA'!A201="","",IF('04_DATA'!D201&lt;PERCENTILE('04_DATA'!$D$2:$D$1001,0.05),"FLAG","ok"))</f>
        <v/>
      </c>
      <c r="H204" s="55">
        <f>IF('04_DATA'!A201="","",IF(OR(C204="EXCLUDE",F204="EXCLUDE"),"Exclude under pre-specified rule",IF(E204&gt;0.15,"Exclude: &gt;15% missing",IF(G204="FLAG","Retain; test in robustness battery","Retain"))))</f>
        <v/>
      </c>
    </row>
    <row r="205">
      <c r="A205" s="55" t="n">
        <v>202</v>
      </c>
      <c r="B205" s="55">
        <f>IF('04_DATA'!A202="","",'04_DATA'!A202)</f>
        <v/>
      </c>
      <c r="C205" s="55">
        <f>IF('04_DATA'!A202="","",IF(AND('04_DATA'!G202=1,'04_DATA'!H202=1,'04_DATA'!I202&gt;=3),"eligible","EXCLUDE"))</f>
        <v/>
      </c>
      <c r="D205" s="55">
        <f>IF('04_DATA'!A202="","",37-COUNT('04_DATA'!$K202:$AU202))</f>
        <v/>
      </c>
      <c r="E205" s="63">
        <f>IF('04_DATA'!A202="","",(37-COUNT('04_DATA'!$K202:$AU202))/37)</f>
        <v/>
      </c>
      <c r="F205" s="55">
        <f>IF('04_DATA'!A202="","",IF(AND(COUNT('04_DATA'!$K202:$AU202)=37,COUNTIF('04_DATA'!$K202:$AU202,INDEX('04_DATA'!$K202:$AU202,1))=37),"EXCLUDE","ok"))</f>
        <v/>
      </c>
      <c r="G205" s="55">
        <f>IF('04_DATA'!A202="","",IF('04_DATA'!D202&lt;PERCENTILE('04_DATA'!$D$2:$D$1001,0.05),"FLAG","ok"))</f>
        <v/>
      </c>
      <c r="H205" s="55">
        <f>IF('04_DATA'!A202="","",IF(OR(C205="EXCLUDE",F205="EXCLUDE"),"Exclude under pre-specified rule",IF(E205&gt;0.15,"Exclude: &gt;15% missing",IF(G205="FLAG","Retain; test in robustness battery","Retain"))))</f>
        <v/>
      </c>
    </row>
    <row r="206">
      <c r="A206" s="55" t="n">
        <v>203</v>
      </c>
      <c r="B206" s="55">
        <f>IF('04_DATA'!A203="","",'04_DATA'!A203)</f>
        <v/>
      </c>
      <c r="C206" s="55">
        <f>IF('04_DATA'!A203="","",IF(AND('04_DATA'!G203=1,'04_DATA'!H203=1,'04_DATA'!I203&gt;=3),"eligible","EXCLUDE"))</f>
        <v/>
      </c>
      <c r="D206" s="55">
        <f>IF('04_DATA'!A203="","",37-COUNT('04_DATA'!$K203:$AU203))</f>
        <v/>
      </c>
      <c r="E206" s="63">
        <f>IF('04_DATA'!A203="","",(37-COUNT('04_DATA'!$K203:$AU203))/37)</f>
        <v/>
      </c>
      <c r="F206" s="55">
        <f>IF('04_DATA'!A203="","",IF(AND(COUNT('04_DATA'!$K203:$AU203)=37,COUNTIF('04_DATA'!$K203:$AU203,INDEX('04_DATA'!$K203:$AU203,1))=37),"EXCLUDE","ok"))</f>
        <v/>
      </c>
      <c r="G206" s="55">
        <f>IF('04_DATA'!A203="","",IF('04_DATA'!D203&lt;PERCENTILE('04_DATA'!$D$2:$D$1001,0.05),"FLAG","ok"))</f>
        <v/>
      </c>
      <c r="H206" s="55">
        <f>IF('04_DATA'!A203="","",IF(OR(C206="EXCLUDE",F206="EXCLUDE"),"Exclude under pre-specified rule",IF(E206&gt;0.15,"Exclude: &gt;15% missing",IF(G206="FLAG","Retain; test in robustness battery","Retain"))))</f>
        <v/>
      </c>
    </row>
    <row r="207">
      <c r="A207" s="55" t="n">
        <v>204</v>
      </c>
      <c r="B207" s="55">
        <f>IF('04_DATA'!A204="","",'04_DATA'!A204)</f>
        <v/>
      </c>
      <c r="C207" s="55">
        <f>IF('04_DATA'!A204="","",IF(AND('04_DATA'!G204=1,'04_DATA'!H204=1,'04_DATA'!I204&gt;=3),"eligible","EXCLUDE"))</f>
        <v/>
      </c>
      <c r="D207" s="55">
        <f>IF('04_DATA'!A204="","",37-COUNT('04_DATA'!$K204:$AU204))</f>
        <v/>
      </c>
      <c r="E207" s="63">
        <f>IF('04_DATA'!A204="","",(37-COUNT('04_DATA'!$K204:$AU204))/37)</f>
        <v/>
      </c>
      <c r="F207" s="55">
        <f>IF('04_DATA'!A204="","",IF(AND(COUNT('04_DATA'!$K204:$AU204)=37,COUNTIF('04_DATA'!$K204:$AU204,INDEX('04_DATA'!$K204:$AU204,1))=37),"EXCLUDE","ok"))</f>
        <v/>
      </c>
      <c r="G207" s="55">
        <f>IF('04_DATA'!A204="","",IF('04_DATA'!D204&lt;PERCENTILE('04_DATA'!$D$2:$D$1001,0.05),"FLAG","ok"))</f>
        <v/>
      </c>
      <c r="H207" s="55">
        <f>IF('04_DATA'!A204="","",IF(OR(C207="EXCLUDE",F207="EXCLUDE"),"Exclude under pre-specified rule",IF(E207&gt;0.15,"Exclude: &gt;15% missing",IF(G207="FLAG","Retain; test in robustness battery","Retain"))))</f>
        <v/>
      </c>
    </row>
    <row r="208">
      <c r="A208" s="55" t="n">
        <v>205</v>
      </c>
      <c r="B208" s="55">
        <f>IF('04_DATA'!A205="","",'04_DATA'!A205)</f>
        <v/>
      </c>
      <c r="C208" s="55">
        <f>IF('04_DATA'!A205="","",IF(AND('04_DATA'!G205=1,'04_DATA'!H205=1,'04_DATA'!I205&gt;=3),"eligible","EXCLUDE"))</f>
        <v/>
      </c>
      <c r="D208" s="55">
        <f>IF('04_DATA'!A205="","",37-COUNT('04_DATA'!$K205:$AU205))</f>
        <v/>
      </c>
      <c r="E208" s="63">
        <f>IF('04_DATA'!A205="","",(37-COUNT('04_DATA'!$K205:$AU205))/37)</f>
        <v/>
      </c>
      <c r="F208" s="55">
        <f>IF('04_DATA'!A205="","",IF(AND(COUNT('04_DATA'!$K205:$AU205)=37,COUNTIF('04_DATA'!$K205:$AU205,INDEX('04_DATA'!$K205:$AU205,1))=37),"EXCLUDE","ok"))</f>
        <v/>
      </c>
      <c r="G208" s="55">
        <f>IF('04_DATA'!A205="","",IF('04_DATA'!D205&lt;PERCENTILE('04_DATA'!$D$2:$D$1001,0.05),"FLAG","ok"))</f>
        <v/>
      </c>
      <c r="H208" s="55">
        <f>IF('04_DATA'!A205="","",IF(OR(C208="EXCLUDE",F208="EXCLUDE"),"Exclude under pre-specified rule",IF(E208&gt;0.15,"Exclude: &gt;15% missing",IF(G208="FLAG","Retain; test in robustness battery","Retain"))))</f>
        <v/>
      </c>
    </row>
    <row r="209">
      <c r="A209" s="55" t="n">
        <v>206</v>
      </c>
      <c r="B209" s="55">
        <f>IF('04_DATA'!A206="","",'04_DATA'!A206)</f>
        <v/>
      </c>
      <c r="C209" s="55">
        <f>IF('04_DATA'!A206="","",IF(AND('04_DATA'!G206=1,'04_DATA'!H206=1,'04_DATA'!I206&gt;=3),"eligible","EXCLUDE"))</f>
        <v/>
      </c>
      <c r="D209" s="55">
        <f>IF('04_DATA'!A206="","",37-COUNT('04_DATA'!$K206:$AU206))</f>
        <v/>
      </c>
      <c r="E209" s="63">
        <f>IF('04_DATA'!A206="","",(37-COUNT('04_DATA'!$K206:$AU206))/37)</f>
        <v/>
      </c>
      <c r="F209" s="55">
        <f>IF('04_DATA'!A206="","",IF(AND(COUNT('04_DATA'!$K206:$AU206)=37,COUNTIF('04_DATA'!$K206:$AU206,INDEX('04_DATA'!$K206:$AU206,1))=37),"EXCLUDE","ok"))</f>
        <v/>
      </c>
      <c r="G209" s="55">
        <f>IF('04_DATA'!A206="","",IF('04_DATA'!D206&lt;PERCENTILE('04_DATA'!$D$2:$D$1001,0.05),"FLAG","ok"))</f>
        <v/>
      </c>
      <c r="H209" s="55">
        <f>IF('04_DATA'!A206="","",IF(OR(C209="EXCLUDE",F209="EXCLUDE"),"Exclude under pre-specified rule",IF(E209&gt;0.15,"Exclude: &gt;15% missing",IF(G209="FLAG","Retain; test in robustness battery","Retain"))))</f>
        <v/>
      </c>
    </row>
    <row r="210">
      <c r="A210" s="55" t="n">
        <v>207</v>
      </c>
      <c r="B210" s="55">
        <f>IF('04_DATA'!A207="","",'04_DATA'!A207)</f>
        <v/>
      </c>
      <c r="C210" s="55">
        <f>IF('04_DATA'!A207="","",IF(AND('04_DATA'!G207=1,'04_DATA'!H207=1,'04_DATA'!I207&gt;=3),"eligible","EXCLUDE"))</f>
        <v/>
      </c>
      <c r="D210" s="55">
        <f>IF('04_DATA'!A207="","",37-COUNT('04_DATA'!$K207:$AU207))</f>
        <v/>
      </c>
      <c r="E210" s="63">
        <f>IF('04_DATA'!A207="","",(37-COUNT('04_DATA'!$K207:$AU207))/37)</f>
        <v/>
      </c>
      <c r="F210" s="55">
        <f>IF('04_DATA'!A207="","",IF(AND(COUNT('04_DATA'!$K207:$AU207)=37,COUNTIF('04_DATA'!$K207:$AU207,INDEX('04_DATA'!$K207:$AU207,1))=37),"EXCLUDE","ok"))</f>
        <v/>
      </c>
      <c r="G210" s="55">
        <f>IF('04_DATA'!A207="","",IF('04_DATA'!D207&lt;PERCENTILE('04_DATA'!$D$2:$D$1001,0.05),"FLAG","ok"))</f>
        <v/>
      </c>
      <c r="H210" s="55">
        <f>IF('04_DATA'!A207="","",IF(OR(C210="EXCLUDE",F210="EXCLUDE"),"Exclude under pre-specified rule",IF(E210&gt;0.15,"Exclude: &gt;15% missing",IF(G210="FLAG","Retain; test in robustness battery","Retain"))))</f>
        <v/>
      </c>
    </row>
    <row r="211">
      <c r="A211" s="55" t="n">
        <v>208</v>
      </c>
      <c r="B211" s="55">
        <f>IF('04_DATA'!A208="","",'04_DATA'!A208)</f>
        <v/>
      </c>
      <c r="C211" s="55">
        <f>IF('04_DATA'!A208="","",IF(AND('04_DATA'!G208=1,'04_DATA'!H208=1,'04_DATA'!I208&gt;=3),"eligible","EXCLUDE"))</f>
        <v/>
      </c>
      <c r="D211" s="55">
        <f>IF('04_DATA'!A208="","",37-COUNT('04_DATA'!$K208:$AU208))</f>
        <v/>
      </c>
      <c r="E211" s="63">
        <f>IF('04_DATA'!A208="","",(37-COUNT('04_DATA'!$K208:$AU208))/37)</f>
        <v/>
      </c>
      <c r="F211" s="55">
        <f>IF('04_DATA'!A208="","",IF(AND(COUNT('04_DATA'!$K208:$AU208)=37,COUNTIF('04_DATA'!$K208:$AU208,INDEX('04_DATA'!$K208:$AU208,1))=37),"EXCLUDE","ok"))</f>
        <v/>
      </c>
      <c r="G211" s="55">
        <f>IF('04_DATA'!A208="","",IF('04_DATA'!D208&lt;PERCENTILE('04_DATA'!$D$2:$D$1001,0.05),"FLAG","ok"))</f>
        <v/>
      </c>
      <c r="H211" s="55">
        <f>IF('04_DATA'!A208="","",IF(OR(C211="EXCLUDE",F211="EXCLUDE"),"Exclude under pre-specified rule",IF(E211&gt;0.15,"Exclude: &gt;15% missing",IF(G211="FLAG","Retain; test in robustness battery","Retain"))))</f>
        <v/>
      </c>
    </row>
    <row r="212">
      <c r="A212" s="55" t="n">
        <v>209</v>
      </c>
      <c r="B212" s="55">
        <f>IF('04_DATA'!A209="","",'04_DATA'!A209)</f>
        <v/>
      </c>
      <c r="C212" s="55">
        <f>IF('04_DATA'!A209="","",IF(AND('04_DATA'!G209=1,'04_DATA'!H209=1,'04_DATA'!I209&gt;=3),"eligible","EXCLUDE"))</f>
        <v/>
      </c>
      <c r="D212" s="55">
        <f>IF('04_DATA'!A209="","",37-COUNT('04_DATA'!$K209:$AU209))</f>
        <v/>
      </c>
      <c r="E212" s="63">
        <f>IF('04_DATA'!A209="","",(37-COUNT('04_DATA'!$K209:$AU209))/37)</f>
        <v/>
      </c>
      <c r="F212" s="55">
        <f>IF('04_DATA'!A209="","",IF(AND(COUNT('04_DATA'!$K209:$AU209)=37,COUNTIF('04_DATA'!$K209:$AU209,INDEX('04_DATA'!$K209:$AU209,1))=37),"EXCLUDE","ok"))</f>
        <v/>
      </c>
      <c r="G212" s="55">
        <f>IF('04_DATA'!A209="","",IF('04_DATA'!D209&lt;PERCENTILE('04_DATA'!$D$2:$D$1001,0.05),"FLAG","ok"))</f>
        <v/>
      </c>
      <c r="H212" s="55">
        <f>IF('04_DATA'!A209="","",IF(OR(C212="EXCLUDE",F212="EXCLUDE"),"Exclude under pre-specified rule",IF(E212&gt;0.15,"Exclude: &gt;15% missing",IF(G212="FLAG","Retain; test in robustness battery","Retain"))))</f>
        <v/>
      </c>
    </row>
    <row r="213">
      <c r="A213" s="55" t="n">
        <v>210</v>
      </c>
      <c r="B213" s="55">
        <f>IF('04_DATA'!A210="","",'04_DATA'!A210)</f>
        <v/>
      </c>
      <c r="C213" s="55">
        <f>IF('04_DATA'!A210="","",IF(AND('04_DATA'!G210=1,'04_DATA'!H210=1,'04_DATA'!I210&gt;=3),"eligible","EXCLUDE"))</f>
        <v/>
      </c>
      <c r="D213" s="55">
        <f>IF('04_DATA'!A210="","",37-COUNT('04_DATA'!$K210:$AU210))</f>
        <v/>
      </c>
      <c r="E213" s="63">
        <f>IF('04_DATA'!A210="","",(37-COUNT('04_DATA'!$K210:$AU210))/37)</f>
        <v/>
      </c>
      <c r="F213" s="55">
        <f>IF('04_DATA'!A210="","",IF(AND(COUNT('04_DATA'!$K210:$AU210)=37,COUNTIF('04_DATA'!$K210:$AU210,INDEX('04_DATA'!$K210:$AU210,1))=37),"EXCLUDE","ok"))</f>
        <v/>
      </c>
      <c r="G213" s="55">
        <f>IF('04_DATA'!A210="","",IF('04_DATA'!D210&lt;PERCENTILE('04_DATA'!$D$2:$D$1001,0.05),"FLAG","ok"))</f>
        <v/>
      </c>
      <c r="H213" s="55">
        <f>IF('04_DATA'!A210="","",IF(OR(C213="EXCLUDE",F213="EXCLUDE"),"Exclude under pre-specified rule",IF(E213&gt;0.15,"Exclude: &gt;15% missing",IF(G213="FLAG","Retain; test in robustness battery","Retain"))))</f>
        <v/>
      </c>
    </row>
    <row r="214">
      <c r="A214" s="55" t="n">
        <v>211</v>
      </c>
      <c r="B214" s="55">
        <f>IF('04_DATA'!A211="","",'04_DATA'!A211)</f>
        <v/>
      </c>
      <c r="C214" s="55">
        <f>IF('04_DATA'!A211="","",IF(AND('04_DATA'!G211=1,'04_DATA'!H211=1,'04_DATA'!I211&gt;=3),"eligible","EXCLUDE"))</f>
        <v/>
      </c>
      <c r="D214" s="55">
        <f>IF('04_DATA'!A211="","",37-COUNT('04_DATA'!$K211:$AU211))</f>
        <v/>
      </c>
      <c r="E214" s="63">
        <f>IF('04_DATA'!A211="","",(37-COUNT('04_DATA'!$K211:$AU211))/37)</f>
        <v/>
      </c>
      <c r="F214" s="55">
        <f>IF('04_DATA'!A211="","",IF(AND(COUNT('04_DATA'!$K211:$AU211)=37,COUNTIF('04_DATA'!$K211:$AU211,INDEX('04_DATA'!$K211:$AU211,1))=37),"EXCLUDE","ok"))</f>
        <v/>
      </c>
      <c r="G214" s="55">
        <f>IF('04_DATA'!A211="","",IF('04_DATA'!D211&lt;PERCENTILE('04_DATA'!$D$2:$D$1001,0.05),"FLAG","ok"))</f>
        <v/>
      </c>
      <c r="H214" s="55">
        <f>IF('04_DATA'!A211="","",IF(OR(C214="EXCLUDE",F214="EXCLUDE"),"Exclude under pre-specified rule",IF(E214&gt;0.15,"Exclude: &gt;15% missing",IF(G214="FLAG","Retain; test in robustness battery","Retain"))))</f>
        <v/>
      </c>
    </row>
    <row r="215">
      <c r="A215" s="55" t="n">
        <v>212</v>
      </c>
      <c r="B215" s="55">
        <f>IF('04_DATA'!A212="","",'04_DATA'!A212)</f>
        <v/>
      </c>
      <c r="C215" s="55">
        <f>IF('04_DATA'!A212="","",IF(AND('04_DATA'!G212=1,'04_DATA'!H212=1,'04_DATA'!I212&gt;=3),"eligible","EXCLUDE"))</f>
        <v/>
      </c>
      <c r="D215" s="55">
        <f>IF('04_DATA'!A212="","",37-COUNT('04_DATA'!$K212:$AU212))</f>
        <v/>
      </c>
      <c r="E215" s="63">
        <f>IF('04_DATA'!A212="","",(37-COUNT('04_DATA'!$K212:$AU212))/37)</f>
        <v/>
      </c>
      <c r="F215" s="55">
        <f>IF('04_DATA'!A212="","",IF(AND(COUNT('04_DATA'!$K212:$AU212)=37,COUNTIF('04_DATA'!$K212:$AU212,INDEX('04_DATA'!$K212:$AU212,1))=37),"EXCLUDE","ok"))</f>
        <v/>
      </c>
      <c r="G215" s="55">
        <f>IF('04_DATA'!A212="","",IF('04_DATA'!D212&lt;PERCENTILE('04_DATA'!$D$2:$D$1001,0.05),"FLAG","ok"))</f>
        <v/>
      </c>
      <c r="H215" s="55">
        <f>IF('04_DATA'!A212="","",IF(OR(C215="EXCLUDE",F215="EXCLUDE"),"Exclude under pre-specified rule",IF(E215&gt;0.15,"Exclude: &gt;15% missing",IF(G215="FLAG","Retain; test in robustness battery","Retain"))))</f>
        <v/>
      </c>
    </row>
    <row r="216">
      <c r="A216" s="55" t="n">
        <v>213</v>
      </c>
      <c r="B216" s="55">
        <f>IF('04_DATA'!A213="","",'04_DATA'!A213)</f>
        <v/>
      </c>
      <c r="C216" s="55">
        <f>IF('04_DATA'!A213="","",IF(AND('04_DATA'!G213=1,'04_DATA'!H213=1,'04_DATA'!I213&gt;=3),"eligible","EXCLUDE"))</f>
        <v/>
      </c>
      <c r="D216" s="55">
        <f>IF('04_DATA'!A213="","",37-COUNT('04_DATA'!$K213:$AU213))</f>
        <v/>
      </c>
      <c r="E216" s="63">
        <f>IF('04_DATA'!A213="","",(37-COUNT('04_DATA'!$K213:$AU213))/37)</f>
        <v/>
      </c>
      <c r="F216" s="55">
        <f>IF('04_DATA'!A213="","",IF(AND(COUNT('04_DATA'!$K213:$AU213)=37,COUNTIF('04_DATA'!$K213:$AU213,INDEX('04_DATA'!$K213:$AU213,1))=37),"EXCLUDE","ok"))</f>
        <v/>
      </c>
      <c r="G216" s="55">
        <f>IF('04_DATA'!A213="","",IF('04_DATA'!D213&lt;PERCENTILE('04_DATA'!$D$2:$D$1001,0.05),"FLAG","ok"))</f>
        <v/>
      </c>
      <c r="H216" s="55">
        <f>IF('04_DATA'!A213="","",IF(OR(C216="EXCLUDE",F216="EXCLUDE"),"Exclude under pre-specified rule",IF(E216&gt;0.15,"Exclude: &gt;15% missing",IF(G216="FLAG","Retain; test in robustness battery","Retain"))))</f>
        <v/>
      </c>
    </row>
    <row r="217">
      <c r="A217" s="55" t="n">
        <v>214</v>
      </c>
      <c r="B217" s="55">
        <f>IF('04_DATA'!A214="","",'04_DATA'!A214)</f>
        <v/>
      </c>
      <c r="C217" s="55">
        <f>IF('04_DATA'!A214="","",IF(AND('04_DATA'!G214=1,'04_DATA'!H214=1,'04_DATA'!I214&gt;=3),"eligible","EXCLUDE"))</f>
        <v/>
      </c>
      <c r="D217" s="55">
        <f>IF('04_DATA'!A214="","",37-COUNT('04_DATA'!$K214:$AU214))</f>
        <v/>
      </c>
      <c r="E217" s="63">
        <f>IF('04_DATA'!A214="","",(37-COUNT('04_DATA'!$K214:$AU214))/37)</f>
        <v/>
      </c>
      <c r="F217" s="55">
        <f>IF('04_DATA'!A214="","",IF(AND(COUNT('04_DATA'!$K214:$AU214)=37,COUNTIF('04_DATA'!$K214:$AU214,INDEX('04_DATA'!$K214:$AU214,1))=37),"EXCLUDE","ok"))</f>
        <v/>
      </c>
      <c r="G217" s="55">
        <f>IF('04_DATA'!A214="","",IF('04_DATA'!D214&lt;PERCENTILE('04_DATA'!$D$2:$D$1001,0.05),"FLAG","ok"))</f>
        <v/>
      </c>
      <c r="H217" s="55">
        <f>IF('04_DATA'!A214="","",IF(OR(C217="EXCLUDE",F217="EXCLUDE"),"Exclude under pre-specified rule",IF(E217&gt;0.15,"Exclude: &gt;15% missing",IF(G217="FLAG","Retain; test in robustness battery","Retain"))))</f>
        <v/>
      </c>
    </row>
    <row r="218">
      <c r="A218" s="55" t="n">
        <v>215</v>
      </c>
      <c r="B218" s="55">
        <f>IF('04_DATA'!A215="","",'04_DATA'!A215)</f>
        <v/>
      </c>
      <c r="C218" s="55">
        <f>IF('04_DATA'!A215="","",IF(AND('04_DATA'!G215=1,'04_DATA'!H215=1,'04_DATA'!I215&gt;=3),"eligible","EXCLUDE"))</f>
        <v/>
      </c>
      <c r="D218" s="55">
        <f>IF('04_DATA'!A215="","",37-COUNT('04_DATA'!$K215:$AU215))</f>
        <v/>
      </c>
      <c r="E218" s="63">
        <f>IF('04_DATA'!A215="","",(37-COUNT('04_DATA'!$K215:$AU215))/37)</f>
        <v/>
      </c>
      <c r="F218" s="55">
        <f>IF('04_DATA'!A215="","",IF(AND(COUNT('04_DATA'!$K215:$AU215)=37,COUNTIF('04_DATA'!$K215:$AU215,INDEX('04_DATA'!$K215:$AU215,1))=37),"EXCLUDE","ok"))</f>
        <v/>
      </c>
      <c r="G218" s="55">
        <f>IF('04_DATA'!A215="","",IF('04_DATA'!D215&lt;PERCENTILE('04_DATA'!$D$2:$D$1001,0.05),"FLAG","ok"))</f>
        <v/>
      </c>
      <c r="H218" s="55">
        <f>IF('04_DATA'!A215="","",IF(OR(C218="EXCLUDE",F218="EXCLUDE"),"Exclude under pre-specified rule",IF(E218&gt;0.15,"Exclude: &gt;15% missing",IF(G218="FLAG","Retain; test in robustness battery","Retain"))))</f>
        <v/>
      </c>
    </row>
    <row r="219">
      <c r="A219" s="55" t="n">
        <v>216</v>
      </c>
      <c r="B219" s="55">
        <f>IF('04_DATA'!A216="","",'04_DATA'!A216)</f>
        <v/>
      </c>
      <c r="C219" s="55">
        <f>IF('04_DATA'!A216="","",IF(AND('04_DATA'!G216=1,'04_DATA'!H216=1,'04_DATA'!I216&gt;=3),"eligible","EXCLUDE"))</f>
        <v/>
      </c>
      <c r="D219" s="55">
        <f>IF('04_DATA'!A216="","",37-COUNT('04_DATA'!$K216:$AU216))</f>
        <v/>
      </c>
      <c r="E219" s="63">
        <f>IF('04_DATA'!A216="","",(37-COUNT('04_DATA'!$K216:$AU216))/37)</f>
        <v/>
      </c>
      <c r="F219" s="55">
        <f>IF('04_DATA'!A216="","",IF(AND(COUNT('04_DATA'!$K216:$AU216)=37,COUNTIF('04_DATA'!$K216:$AU216,INDEX('04_DATA'!$K216:$AU216,1))=37),"EXCLUDE","ok"))</f>
        <v/>
      </c>
      <c r="G219" s="55">
        <f>IF('04_DATA'!A216="","",IF('04_DATA'!D216&lt;PERCENTILE('04_DATA'!$D$2:$D$1001,0.05),"FLAG","ok"))</f>
        <v/>
      </c>
      <c r="H219" s="55">
        <f>IF('04_DATA'!A216="","",IF(OR(C219="EXCLUDE",F219="EXCLUDE"),"Exclude under pre-specified rule",IF(E219&gt;0.15,"Exclude: &gt;15% missing",IF(G219="FLAG","Retain; test in robustness battery","Retain"))))</f>
        <v/>
      </c>
    </row>
    <row r="220">
      <c r="A220" s="55" t="n">
        <v>217</v>
      </c>
      <c r="B220" s="55">
        <f>IF('04_DATA'!A217="","",'04_DATA'!A217)</f>
        <v/>
      </c>
      <c r="C220" s="55">
        <f>IF('04_DATA'!A217="","",IF(AND('04_DATA'!G217=1,'04_DATA'!H217=1,'04_DATA'!I217&gt;=3),"eligible","EXCLUDE"))</f>
        <v/>
      </c>
      <c r="D220" s="55">
        <f>IF('04_DATA'!A217="","",37-COUNT('04_DATA'!$K217:$AU217))</f>
        <v/>
      </c>
      <c r="E220" s="63">
        <f>IF('04_DATA'!A217="","",(37-COUNT('04_DATA'!$K217:$AU217))/37)</f>
        <v/>
      </c>
      <c r="F220" s="55">
        <f>IF('04_DATA'!A217="","",IF(AND(COUNT('04_DATA'!$K217:$AU217)=37,COUNTIF('04_DATA'!$K217:$AU217,INDEX('04_DATA'!$K217:$AU217,1))=37),"EXCLUDE","ok"))</f>
        <v/>
      </c>
      <c r="G220" s="55">
        <f>IF('04_DATA'!A217="","",IF('04_DATA'!D217&lt;PERCENTILE('04_DATA'!$D$2:$D$1001,0.05),"FLAG","ok"))</f>
        <v/>
      </c>
      <c r="H220" s="55">
        <f>IF('04_DATA'!A217="","",IF(OR(C220="EXCLUDE",F220="EXCLUDE"),"Exclude under pre-specified rule",IF(E220&gt;0.15,"Exclude: &gt;15% missing",IF(G220="FLAG","Retain; test in robustness battery","Retain"))))</f>
        <v/>
      </c>
    </row>
    <row r="221">
      <c r="A221" s="55" t="n">
        <v>218</v>
      </c>
      <c r="B221" s="55">
        <f>IF('04_DATA'!A218="","",'04_DATA'!A218)</f>
        <v/>
      </c>
      <c r="C221" s="55">
        <f>IF('04_DATA'!A218="","",IF(AND('04_DATA'!G218=1,'04_DATA'!H218=1,'04_DATA'!I218&gt;=3),"eligible","EXCLUDE"))</f>
        <v/>
      </c>
      <c r="D221" s="55">
        <f>IF('04_DATA'!A218="","",37-COUNT('04_DATA'!$K218:$AU218))</f>
        <v/>
      </c>
      <c r="E221" s="63">
        <f>IF('04_DATA'!A218="","",(37-COUNT('04_DATA'!$K218:$AU218))/37)</f>
        <v/>
      </c>
      <c r="F221" s="55">
        <f>IF('04_DATA'!A218="","",IF(AND(COUNT('04_DATA'!$K218:$AU218)=37,COUNTIF('04_DATA'!$K218:$AU218,INDEX('04_DATA'!$K218:$AU218,1))=37),"EXCLUDE","ok"))</f>
        <v/>
      </c>
      <c r="G221" s="55">
        <f>IF('04_DATA'!A218="","",IF('04_DATA'!D218&lt;PERCENTILE('04_DATA'!$D$2:$D$1001,0.05),"FLAG","ok"))</f>
        <v/>
      </c>
      <c r="H221" s="55">
        <f>IF('04_DATA'!A218="","",IF(OR(C221="EXCLUDE",F221="EXCLUDE"),"Exclude under pre-specified rule",IF(E221&gt;0.15,"Exclude: &gt;15% missing",IF(G221="FLAG","Retain; test in robustness battery","Retain"))))</f>
        <v/>
      </c>
    </row>
    <row r="222">
      <c r="A222" s="55" t="n">
        <v>219</v>
      </c>
      <c r="B222" s="55">
        <f>IF('04_DATA'!A219="","",'04_DATA'!A219)</f>
        <v/>
      </c>
      <c r="C222" s="55">
        <f>IF('04_DATA'!A219="","",IF(AND('04_DATA'!G219=1,'04_DATA'!H219=1,'04_DATA'!I219&gt;=3),"eligible","EXCLUDE"))</f>
        <v/>
      </c>
      <c r="D222" s="55">
        <f>IF('04_DATA'!A219="","",37-COUNT('04_DATA'!$K219:$AU219))</f>
        <v/>
      </c>
      <c r="E222" s="63">
        <f>IF('04_DATA'!A219="","",(37-COUNT('04_DATA'!$K219:$AU219))/37)</f>
        <v/>
      </c>
      <c r="F222" s="55">
        <f>IF('04_DATA'!A219="","",IF(AND(COUNT('04_DATA'!$K219:$AU219)=37,COUNTIF('04_DATA'!$K219:$AU219,INDEX('04_DATA'!$K219:$AU219,1))=37),"EXCLUDE","ok"))</f>
        <v/>
      </c>
      <c r="G222" s="55">
        <f>IF('04_DATA'!A219="","",IF('04_DATA'!D219&lt;PERCENTILE('04_DATA'!$D$2:$D$1001,0.05),"FLAG","ok"))</f>
        <v/>
      </c>
      <c r="H222" s="55">
        <f>IF('04_DATA'!A219="","",IF(OR(C222="EXCLUDE",F222="EXCLUDE"),"Exclude under pre-specified rule",IF(E222&gt;0.15,"Exclude: &gt;15% missing",IF(G222="FLAG","Retain; test in robustness battery","Retain"))))</f>
        <v/>
      </c>
    </row>
    <row r="223">
      <c r="A223" s="55" t="n">
        <v>220</v>
      </c>
      <c r="B223" s="55">
        <f>IF('04_DATA'!A220="","",'04_DATA'!A220)</f>
        <v/>
      </c>
      <c r="C223" s="55">
        <f>IF('04_DATA'!A220="","",IF(AND('04_DATA'!G220=1,'04_DATA'!H220=1,'04_DATA'!I220&gt;=3),"eligible","EXCLUDE"))</f>
        <v/>
      </c>
      <c r="D223" s="55">
        <f>IF('04_DATA'!A220="","",37-COUNT('04_DATA'!$K220:$AU220))</f>
        <v/>
      </c>
      <c r="E223" s="63">
        <f>IF('04_DATA'!A220="","",(37-COUNT('04_DATA'!$K220:$AU220))/37)</f>
        <v/>
      </c>
      <c r="F223" s="55">
        <f>IF('04_DATA'!A220="","",IF(AND(COUNT('04_DATA'!$K220:$AU220)=37,COUNTIF('04_DATA'!$K220:$AU220,INDEX('04_DATA'!$K220:$AU220,1))=37),"EXCLUDE","ok"))</f>
        <v/>
      </c>
      <c r="G223" s="55">
        <f>IF('04_DATA'!A220="","",IF('04_DATA'!D220&lt;PERCENTILE('04_DATA'!$D$2:$D$1001,0.05),"FLAG","ok"))</f>
        <v/>
      </c>
      <c r="H223" s="55">
        <f>IF('04_DATA'!A220="","",IF(OR(C223="EXCLUDE",F223="EXCLUDE"),"Exclude under pre-specified rule",IF(E223&gt;0.15,"Exclude: &gt;15% missing",IF(G223="FLAG","Retain; test in robustness battery","Retain"))))</f>
        <v/>
      </c>
    </row>
    <row r="224">
      <c r="A224" s="55" t="n">
        <v>221</v>
      </c>
      <c r="B224" s="55">
        <f>IF('04_DATA'!A221="","",'04_DATA'!A221)</f>
        <v/>
      </c>
      <c r="C224" s="55">
        <f>IF('04_DATA'!A221="","",IF(AND('04_DATA'!G221=1,'04_DATA'!H221=1,'04_DATA'!I221&gt;=3),"eligible","EXCLUDE"))</f>
        <v/>
      </c>
      <c r="D224" s="55">
        <f>IF('04_DATA'!A221="","",37-COUNT('04_DATA'!$K221:$AU221))</f>
        <v/>
      </c>
      <c r="E224" s="63">
        <f>IF('04_DATA'!A221="","",(37-COUNT('04_DATA'!$K221:$AU221))/37)</f>
        <v/>
      </c>
      <c r="F224" s="55">
        <f>IF('04_DATA'!A221="","",IF(AND(COUNT('04_DATA'!$K221:$AU221)=37,COUNTIF('04_DATA'!$K221:$AU221,INDEX('04_DATA'!$K221:$AU221,1))=37),"EXCLUDE","ok"))</f>
        <v/>
      </c>
      <c r="G224" s="55">
        <f>IF('04_DATA'!A221="","",IF('04_DATA'!D221&lt;PERCENTILE('04_DATA'!$D$2:$D$1001,0.05),"FLAG","ok"))</f>
        <v/>
      </c>
      <c r="H224" s="55">
        <f>IF('04_DATA'!A221="","",IF(OR(C224="EXCLUDE",F224="EXCLUDE"),"Exclude under pre-specified rule",IF(E224&gt;0.15,"Exclude: &gt;15% missing",IF(G224="FLAG","Retain; test in robustness battery","Retain"))))</f>
        <v/>
      </c>
    </row>
    <row r="225">
      <c r="A225" s="55" t="n">
        <v>222</v>
      </c>
      <c r="B225" s="55">
        <f>IF('04_DATA'!A222="","",'04_DATA'!A222)</f>
        <v/>
      </c>
      <c r="C225" s="55">
        <f>IF('04_DATA'!A222="","",IF(AND('04_DATA'!G222=1,'04_DATA'!H222=1,'04_DATA'!I222&gt;=3),"eligible","EXCLUDE"))</f>
        <v/>
      </c>
      <c r="D225" s="55">
        <f>IF('04_DATA'!A222="","",37-COUNT('04_DATA'!$K222:$AU222))</f>
        <v/>
      </c>
      <c r="E225" s="63">
        <f>IF('04_DATA'!A222="","",(37-COUNT('04_DATA'!$K222:$AU222))/37)</f>
        <v/>
      </c>
      <c r="F225" s="55">
        <f>IF('04_DATA'!A222="","",IF(AND(COUNT('04_DATA'!$K222:$AU222)=37,COUNTIF('04_DATA'!$K222:$AU222,INDEX('04_DATA'!$K222:$AU222,1))=37),"EXCLUDE","ok"))</f>
        <v/>
      </c>
      <c r="G225" s="55">
        <f>IF('04_DATA'!A222="","",IF('04_DATA'!D222&lt;PERCENTILE('04_DATA'!$D$2:$D$1001,0.05),"FLAG","ok"))</f>
        <v/>
      </c>
      <c r="H225" s="55">
        <f>IF('04_DATA'!A222="","",IF(OR(C225="EXCLUDE",F225="EXCLUDE"),"Exclude under pre-specified rule",IF(E225&gt;0.15,"Exclude: &gt;15% missing",IF(G225="FLAG","Retain; test in robustness battery","Retain"))))</f>
        <v/>
      </c>
    </row>
    <row r="226">
      <c r="A226" s="55" t="n">
        <v>223</v>
      </c>
      <c r="B226" s="55">
        <f>IF('04_DATA'!A223="","",'04_DATA'!A223)</f>
        <v/>
      </c>
      <c r="C226" s="55">
        <f>IF('04_DATA'!A223="","",IF(AND('04_DATA'!G223=1,'04_DATA'!H223=1,'04_DATA'!I223&gt;=3),"eligible","EXCLUDE"))</f>
        <v/>
      </c>
      <c r="D226" s="55">
        <f>IF('04_DATA'!A223="","",37-COUNT('04_DATA'!$K223:$AU223))</f>
        <v/>
      </c>
      <c r="E226" s="63">
        <f>IF('04_DATA'!A223="","",(37-COUNT('04_DATA'!$K223:$AU223))/37)</f>
        <v/>
      </c>
      <c r="F226" s="55">
        <f>IF('04_DATA'!A223="","",IF(AND(COUNT('04_DATA'!$K223:$AU223)=37,COUNTIF('04_DATA'!$K223:$AU223,INDEX('04_DATA'!$K223:$AU223,1))=37),"EXCLUDE","ok"))</f>
        <v/>
      </c>
      <c r="G226" s="55">
        <f>IF('04_DATA'!A223="","",IF('04_DATA'!D223&lt;PERCENTILE('04_DATA'!$D$2:$D$1001,0.05),"FLAG","ok"))</f>
        <v/>
      </c>
      <c r="H226" s="55">
        <f>IF('04_DATA'!A223="","",IF(OR(C226="EXCLUDE",F226="EXCLUDE"),"Exclude under pre-specified rule",IF(E226&gt;0.15,"Exclude: &gt;15% missing",IF(G226="FLAG","Retain; test in robustness battery","Retain"))))</f>
        <v/>
      </c>
    </row>
    <row r="227">
      <c r="A227" s="55" t="n">
        <v>224</v>
      </c>
      <c r="B227" s="55">
        <f>IF('04_DATA'!A224="","",'04_DATA'!A224)</f>
        <v/>
      </c>
      <c r="C227" s="55">
        <f>IF('04_DATA'!A224="","",IF(AND('04_DATA'!G224=1,'04_DATA'!H224=1,'04_DATA'!I224&gt;=3),"eligible","EXCLUDE"))</f>
        <v/>
      </c>
      <c r="D227" s="55">
        <f>IF('04_DATA'!A224="","",37-COUNT('04_DATA'!$K224:$AU224))</f>
        <v/>
      </c>
      <c r="E227" s="63">
        <f>IF('04_DATA'!A224="","",(37-COUNT('04_DATA'!$K224:$AU224))/37)</f>
        <v/>
      </c>
      <c r="F227" s="55">
        <f>IF('04_DATA'!A224="","",IF(AND(COUNT('04_DATA'!$K224:$AU224)=37,COUNTIF('04_DATA'!$K224:$AU224,INDEX('04_DATA'!$K224:$AU224,1))=37),"EXCLUDE","ok"))</f>
        <v/>
      </c>
      <c r="G227" s="55">
        <f>IF('04_DATA'!A224="","",IF('04_DATA'!D224&lt;PERCENTILE('04_DATA'!$D$2:$D$1001,0.05),"FLAG","ok"))</f>
        <v/>
      </c>
      <c r="H227" s="55">
        <f>IF('04_DATA'!A224="","",IF(OR(C227="EXCLUDE",F227="EXCLUDE"),"Exclude under pre-specified rule",IF(E227&gt;0.15,"Exclude: &gt;15% missing",IF(G227="FLAG","Retain; test in robustness battery","Retain"))))</f>
        <v/>
      </c>
    </row>
    <row r="228">
      <c r="A228" s="55" t="n">
        <v>225</v>
      </c>
      <c r="B228" s="55">
        <f>IF('04_DATA'!A225="","",'04_DATA'!A225)</f>
        <v/>
      </c>
      <c r="C228" s="55">
        <f>IF('04_DATA'!A225="","",IF(AND('04_DATA'!G225=1,'04_DATA'!H225=1,'04_DATA'!I225&gt;=3),"eligible","EXCLUDE"))</f>
        <v/>
      </c>
      <c r="D228" s="55">
        <f>IF('04_DATA'!A225="","",37-COUNT('04_DATA'!$K225:$AU225))</f>
        <v/>
      </c>
      <c r="E228" s="63">
        <f>IF('04_DATA'!A225="","",(37-COUNT('04_DATA'!$K225:$AU225))/37)</f>
        <v/>
      </c>
      <c r="F228" s="55">
        <f>IF('04_DATA'!A225="","",IF(AND(COUNT('04_DATA'!$K225:$AU225)=37,COUNTIF('04_DATA'!$K225:$AU225,INDEX('04_DATA'!$K225:$AU225,1))=37),"EXCLUDE","ok"))</f>
        <v/>
      </c>
      <c r="G228" s="55">
        <f>IF('04_DATA'!A225="","",IF('04_DATA'!D225&lt;PERCENTILE('04_DATA'!$D$2:$D$1001,0.05),"FLAG","ok"))</f>
        <v/>
      </c>
      <c r="H228" s="55">
        <f>IF('04_DATA'!A225="","",IF(OR(C228="EXCLUDE",F228="EXCLUDE"),"Exclude under pre-specified rule",IF(E228&gt;0.15,"Exclude: &gt;15% missing",IF(G228="FLAG","Retain; test in robustness battery","Retain"))))</f>
        <v/>
      </c>
    </row>
    <row r="229">
      <c r="A229" s="55" t="n">
        <v>226</v>
      </c>
      <c r="B229" s="55">
        <f>IF('04_DATA'!A226="","",'04_DATA'!A226)</f>
        <v/>
      </c>
      <c r="C229" s="55">
        <f>IF('04_DATA'!A226="","",IF(AND('04_DATA'!G226=1,'04_DATA'!H226=1,'04_DATA'!I226&gt;=3),"eligible","EXCLUDE"))</f>
        <v/>
      </c>
      <c r="D229" s="55">
        <f>IF('04_DATA'!A226="","",37-COUNT('04_DATA'!$K226:$AU226))</f>
        <v/>
      </c>
      <c r="E229" s="63">
        <f>IF('04_DATA'!A226="","",(37-COUNT('04_DATA'!$K226:$AU226))/37)</f>
        <v/>
      </c>
      <c r="F229" s="55">
        <f>IF('04_DATA'!A226="","",IF(AND(COUNT('04_DATA'!$K226:$AU226)=37,COUNTIF('04_DATA'!$K226:$AU226,INDEX('04_DATA'!$K226:$AU226,1))=37),"EXCLUDE","ok"))</f>
        <v/>
      </c>
      <c r="G229" s="55">
        <f>IF('04_DATA'!A226="","",IF('04_DATA'!D226&lt;PERCENTILE('04_DATA'!$D$2:$D$1001,0.05),"FLAG","ok"))</f>
        <v/>
      </c>
      <c r="H229" s="55">
        <f>IF('04_DATA'!A226="","",IF(OR(C229="EXCLUDE",F229="EXCLUDE"),"Exclude under pre-specified rule",IF(E229&gt;0.15,"Exclude: &gt;15% missing",IF(G229="FLAG","Retain; test in robustness battery","Retain"))))</f>
        <v/>
      </c>
    </row>
    <row r="230">
      <c r="A230" s="55" t="n">
        <v>227</v>
      </c>
      <c r="B230" s="55">
        <f>IF('04_DATA'!A227="","",'04_DATA'!A227)</f>
        <v/>
      </c>
      <c r="C230" s="55">
        <f>IF('04_DATA'!A227="","",IF(AND('04_DATA'!G227=1,'04_DATA'!H227=1,'04_DATA'!I227&gt;=3),"eligible","EXCLUDE"))</f>
        <v/>
      </c>
      <c r="D230" s="55">
        <f>IF('04_DATA'!A227="","",37-COUNT('04_DATA'!$K227:$AU227))</f>
        <v/>
      </c>
      <c r="E230" s="63">
        <f>IF('04_DATA'!A227="","",(37-COUNT('04_DATA'!$K227:$AU227))/37)</f>
        <v/>
      </c>
      <c r="F230" s="55">
        <f>IF('04_DATA'!A227="","",IF(AND(COUNT('04_DATA'!$K227:$AU227)=37,COUNTIF('04_DATA'!$K227:$AU227,INDEX('04_DATA'!$K227:$AU227,1))=37),"EXCLUDE","ok"))</f>
        <v/>
      </c>
      <c r="G230" s="55">
        <f>IF('04_DATA'!A227="","",IF('04_DATA'!D227&lt;PERCENTILE('04_DATA'!$D$2:$D$1001,0.05),"FLAG","ok"))</f>
        <v/>
      </c>
      <c r="H230" s="55">
        <f>IF('04_DATA'!A227="","",IF(OR(C230="EXCLUDE",F230="EXCLUDE"),"Exclude under pre-specified rule",IF(E230&gt;0.15,"Exclude: &gt;15% missing",IF(G230="FLAG","Retain; test in robustness battery","Retain"))))</f>
        <v/>
      </c>
    </row>
    <row r="231">
      <c r="A231" s="55" t="n">
        <v>228</v>
      </c>
      <c r="B231" s="55">
        <f>IF('04_DATA'!A228="","",'04_DATA'!A228)</f>
        <v/>
      </c>
      <c r="C231" s="55">
        <f>IF('04_DATA'!A228="","",IF(AND('04_DATA'!G228=1,'04_DATA'!H228=1,'04_DATA'!I228&gt;=3),"eligible","EXCLUDE"))</f>
        <v/>
      </c>
      <c r="D231" s="55">
        <f>IF('04_DATA'!A228="","",37-COUNT('04_DATA'!$K228:$AU228))</f>
        <v/>
      </c>
      <c r="E231" s="63">
        <f>IF('04_DATA'!A228="","",(37-COUNT('04_DATA'!$K228:$AU228))/37)</f>
        <v/>
      </c>
      <c r="F231" s="55">
        <f>IF('04_DATA'!A228="","",IF(AND(COUNT('04_DATA'!$K228:$AU228)=37,COUNTIF('04_DATA'!$K228:$AU228,INDEX('04_DATA'!$K228:$AU228,1))=37),"EXCLUDE","ok"))</f>
        <v/>
      </c>
      <c r="G231" s="55">
        <f>IF('04_DATA'!A228="","",IF('04_DATA'!D228&lt;PERCENTILE('04_DATA'!$D$2:$D$1001,0.05),"FLAG","ok"))</f>
        <v/>
      </c>
      <c r="H231" s="55">
        <f>IF('04_DATA'!A228="","",IF(OR(C231="EXCLUDE",F231="EXCLUDE"),"Exclude under pre-specified rule",IF(E231&gt;0.15,"Exclude: &gt;15% missing",IF(G231="FLAG","Retain; test in robustness battery","Retain"))))</f>
        <v/>
      </c>
    </row>
    <row r="232">
      <c r="A232" s="55" t="n">
        <v>229</v>
      </c>
      <c r="B232" s="55">
        <f>IF('04_DATA'!A229="","",'04_DATA'!A229)</f>
        <v/>
      </c>
      <c r="C232" s="55">
        <f>IF('04_DATA'!A229="","",IF(AND('04_DATA'!G229=1,'04_DATA'!H229=1,'04_DATA'!I229&gt;=3),"eligible","EXCLUDE"))</f>
        <v/>
      </c>
      <c r="D232" s="55">
        <f>IF('04_DATA'!A229="","",37-COUNT('04_DATA'!$K229:$AU229))</f>
        <v/>
      </c>
      <c r="E232" s="63">
        <f>IF('04_DATA'!A229="","",(37-COUNT('04_DATA'!$K229:$AU229))/37)</f>
        <v/>
      </c>
      <c r="F232" s="55">
        <f>IF('04_DATA'!A229="","",IF(AND(COUNT('04_DATA'!$K229:$AU229)=37,COUNTIF('04_DATA'!$K229:$AU229,INDEX('04_DATA'!$K229:$AU229,1))=37),"EXCLUDE","ok"))</f>
        <v/>
      </c>
      <c r="G232" s="55">
        <f>IF('04_DATA'!A229="","",IF('04_DATA'!D229&lt;PERCENTILE('04_DATA'!$D$2:$D$1001,0.05),"FLAG","ok"))</f>
        <v/>
      </c>
      <c r="H232" s="55">
        <f>IF('04_DATA'!A229="","",IF(OR(C232="EXCLUDE",F232="EXCLUDE"),"Exclude under pre-specified rule",IF(E232&gt;0.15,"Exclude: &gt;15% missing",IF(G232="FLAG","Retain; test in robustness battery","Retain"))))</f>
        <v/>
      </c>
    </row>
    <row r="233">
      <c r="A233" s="55" t="n">
        <v>230</v>
      </c>
      <c r="B233" s="55">
        <f>IF('04_DATA'!A230="","",'04_DATA'!A230)</f>
        <v/>
      </c>
      <c r="C233" s="55">
        <f>IF('04_DATA'!A230="","",IF(AND('04_DATA'!G230=1,'04_DATA'!H230=1,'04_DATA'!I230&gt;=3),"eligible","EXCLUDE"))</f>
        <v/>
      </c>
      <c r="D233" s="55">
        <f>IF('04_DATA'!A230="","",37-COUNT('04_DATA'!$K230:$AU230))</f>
        <v/>
      </c>
      <c r="E233" s="63">
        <f>IF('04_DATA'!A230="","",(37-COUNT('04_DATA'!$K230:$AU230))/37)</f>
        <v/>
      </c>
      <c r="F233" s="55">
        <f>IF('04_DATA'!A230="","",IF(AND(COUNT('04_DATA'!$K230:$AU230)=37,COUNTIF('04_DATA'!$K230:$AU230,INDEX('04_DATA'!$K230:$AU230,1))=37),"EXCLUDE","ok"))</f>
        <v/>
      </c>
      <c r="G233" s="55">
        <f>IF('04_DATA'!A230="","",IF('04_DATA'!D230&lt;PERCENTILE('04_DATA'!$D$2:$D$1001,0.05),"FLAG","ok"))</f>
        <v/>
      </c>
      <c r="H233" s="55">
        <f>IF('04_DATA'!A230="","",IF(OR(C233="EXCLUDE",F233="EXCLUDE"),"Exclude under pre-specified rule",IF(E233&gt;0.15,"Exclude: &gt;15% missing",IF(G233="FLAG","Retain; test in robustness battery","Retain"))))</f>
        <v/>
      </c>
    </row>
    <row r="234">
      <c r="A234" s="55" t="n">
        <v>231</v>
      </c>
      <c r="B234" s="55">
        <f>IF('04_DATA'!A231="","",'04_DATA'!A231)</f>
        <v/>
      </c>
      <c r="C234" s="55">
        <f>IF('04_DATA'!A231="","",IF(AND('04_DATA'!G231=1,'04_DATA'!H231=1,'04_DATA'!I231&gt;=3),"eligible","EXCLUDE"))</f>
        <v/>
      </c>
      <c r="D234" s="55">
        <f>IF('04_DATA'!A231="","",37-COUNT('04_DATA'!$K231:$AU231))</f>
        <v/>
      </c>
      <c r="E234" s="63">
        <f>IF('04_DATA'!A231="","",(37-COUNT('04_DATA'!$K231:$AU231))/37)</f>
        <v/>
      </c>
      <c r="F234" s="55">
        <f>IF('04_DATA'!A231="","",IF(AND(COUNT('04_DATA'!$K231:$AU231)=37,COUNTIF('04_DATA'!$K231:$AU231,INDEX('04_DATA'!$K231:$AU231,1))=37),"EXCLUDE","ok"))</f>
        <v/>
      </c>
      <c r="G234" s="55">
        <f>IF('04_DATA'!A231="","",IF('04_DATA'!D231&lt;PERCENTILE('04_DATA'!$D$2:$D$1001,0.05),"FLAG","ok"))</f>
        <v/>
      </c>
      <c r="H234" s="55">
        <f>IF('04_DATA'!A231="","",IF(OR(C234="EXCLUDE",F234="EXCLUDE"),"Exclude under pre-specified rule",IF(E234&gt;0.15,"Exclude: &gt;15% missing",IF(G234="FLAG","Retain; test in robustness battery","Retain"))))</f>
        <v/>
      </c>
    </row>
    <row r="235">
      <c r="A235" s="55" t="n">
        <v>232</v>
      </c>
      <c r="B235" s="55">
        <f>IF('04_DATA'!A232="","",'04_DATA'!A232)</f>
        <v/>
      </c>
      <c r="C235" s="55">
        <f>IF('04_DATA'!A232="","",IF(AND('04_DATA'!G232=1,'04_DATA'!H232=1,'04_DATA'!I232&gt;=3),"eligible","EXCLUDE"))</f>
        <v/>
      </c>
      <c r="D235" s="55">
        <f>IF('04_DATA'!A232="","",37-COUNT('04_DATA'!$K232:$AU232))</f>
        <v/>
      </c>
      <c r="E235" s="63">
        <f>IF('04_DATA'!A232="","",(37-COUNT('04_DATA'!$K232:$AU232))/37)</f>
        <v/>
      </c>
      <c r="F235" s="55">
        <f>IF('04_DATA'!A232="","",IF(AND(COUNT('04_DATA'!$K232:$AU232)=37,COUNTIF('04_DATA'!$K232:$AU232,INDEX('04_DATA'!$K232:$AU232,1))=37),"EXCLUDE","ok"))</f>
        <v/>
      </c>
      <c r="G235" s="55">
        <f>IF('04_DATA'!A232="","",IF('04_DATA'!D232&lt;PERCENTILE('04_DATA'!$D$2:$D$1001,0.05),"FLAG","ok"))</f>
        <v/>
      </c>
      <c r="H235" s="55">
        <f>IF('04_DATA'!A232="","",IF(OR(C235="EXCLUDE",F235="EXCLUDE"),"Exclude under pre-specified rule",IF(E235&gt;0.15,"Exclude: &gt;15% missing",IF(G235="FLAG","Retain; test in robustness battery","Retain"))))</f>
        <v/>
      </c>
    </row>
    <row r="236">
      <c r="A236" s="55" t="n">
        <v>233</v>
      </c>
      <c r="B236" s="55">
        <f>IF('04_DATA'!A233="","",'04_DATA'!A233)</f>
        <v/>
      </c>
      <c r="C236" s="55">
        <f>IF('04_DATA'!A233="","",IF(AND('04_DATA'!G233=1,'04_DATA'!H233=1,'04_DATA'!I233&gt;=3),"eligible","EXCLUDE"))</f>
        <v/>
      </c>
      <c r="D236" s="55">
        <f>IF('04_DATA'!A233="","",37-COUNT('04_DATA'!$K233:$AU233))</f>
        <v/>
      </c>
      <c r="E236" s="63">
        <f>IF('04_DATA'!A233="","",(37-COUNT('04_DATA'!$K233:$AU233))/37)</f>
        <v/>
      </c>
      <c r="F236" s="55">
        <f>IF('04_DATA'!A233="","",IF(AND(COUNT('04_DATA'!$K233:$AU233)=37,COUNTIF('04_DATA'!$K233:$AU233,INDEX('04_DATA'!$K233:$AU233,1))=37),"EXCLUDE","ok"))</f>
        <v/>
      </c>
      <c r="G236" s="55">
        <f>IF('04_DATA'!A233="","",IF('04_DATA'!D233&lt;PERCENTILE('04_DATA'!$D$2:$D$1001,0.05),"FLAG","ok"))</f>
        <v/>
      </c>
      <c r="H236" s="55">
        <f>IF('04_DATA'!A233="","",IF(OR(C236="EXCLUDE",F236="EXCLUDE"),"Exclude under pre-specified rule",IF(E236&gt;0.15,"Exclude: &gt;15% missing",IF(G236="FLAG","Retain; test in robustness battery","Retain"))))</f>
        <v/>
      </c>
    </row>
    <row r="237">
      <c r="A237" s="55" t="n">
        <v>234</v>
      </c>
      <c r="B237" s="55">
        <f>IF('04_DATA'!A234="","",'04_DATA'!A234)</f>
        <v/>
      </c>
      <c r="C237" s="55">
        <f>IF('04_DATA'!A234="","",IF(AND('04_DATA'!G234=1,'04_DATA'!H234=1,'04_DATA'!I234&gt;=3),"eligible","EXCLUDE"))</f>
        <v/>
      </c>
      <c r="D237" s="55">
        <f>IF('04_DATA'!A234="","",37-COUNT('04_DATA'!$K234:$AU234))</f>
        <v/>
      </c>
      <c r="E237" s="63">
        <f>IF('04_DATA'!A234="","",(37-COUNT('04_DATA'!$K234:$AU234))/37)</f>
        <v/>
      </c>
      <c r="F237" s="55">
        <f>IF('04_DATA'!A234="","",IF(AND(COUNT('04_DATA'!$K234:$AU234)=37,COUNTIF('04_DATA'!$K234:$AU234,INDEX('04_DATA'!$K234:$AU234,1))=37),"EXCLUDE","ok"))</f>
        <v/>
      </c>
      <c r="G237" s="55">
        <f>IF('04_DATA'!A234="","",IF('04_DATA'!D234&lt;PERCENTILE('04_DATA'!$D$2:$D$1001,0.05),"FLAG","ok"))</f>
        <v/>
      </c>
      <c r="H237" s="55">
        <f>IF('04_DATA'!A234="","",IF(OR(C237="EXCLUDE",F237="EXCLUDE"),"Exclude under pre-specified rule",IF(E237&gt;0.15,"Exclude: &gt;15% missing",IF(G237="FLAG","Retain; test in robustness battery","Retain"))))</f>
        <v/>
      </c>
    </row>
    <row r="238">
      <c r="A238" s="55" t="n">
        <v>235</v>
      </c>
      <c r="B238" s="55">
        <f>IF('04_DATA'!A235="","",'04_DATA'!A235)</f>
        <v/>
      </c>
      <c r="C238" s="55">
        <f>IF('04_DATA'!A235="","",IF(AND('04_DATA'!G235=1,'04_DATA'!H235=1,'04_DATA'!I235&gt;=3),"eligible","EXCLUDE"))</f>
        <v/>
      </c>
      <c r="D238" s="55">
        <f>IF('04_DATA'!A235="","",37-COUNT('04_DATA'!$K235:$AU235))</f>
        <v/>
      </c>
      <c r="E238" s="63">
        <f>IF('04_DATA'!A235="","",(37-COUNT('04_DATA'!$K235:$AU235))/37)</f>
        <v/>
      </c>
      <c r="F238" s="55">
        <f>IF('04_DATA'!A235="","",IF(AND(COUNT('04_DATA'!$K235:$AU235)=37,COUNTIF('04_DATA'!$K235:$AU235,INDEX('04_DATA'!$K235:$AU235,1))=37),"EXCLUDE","ok"))</f>
        <v/>
      </c>
      <c r="G238" s="55">
        <f>IF('04_DATA'!A235="","",IF('04_DATA'!D235&lt;PERCENTILE('04_DATA'!$D$2:$D$1001,0.05),"FLAG","ok"))</f>
        <v/>
      </c>
      <c r="H238" s="55">
        <f>IF('04_DATA'!A235="","",IF(OR(C238="EXCLUDE",F238="EXCLUDE"),"Exclude under pre-specified rule",IF(E238&gt;0.15,"Exclude: &gt;15% missing",IF(G238="FLAG","Retain; test in robustness battery","Retain"))))</f>
        <v/>
      </c>
    </row>
    <row r="239">
      <c r="A239" s="55" t="n">
        <v>236</v>
      </c>
      <c r="B239" s="55">
        <f>IF('04_DATA'!A236="","",'04_DATA'!A236)</f>
        <v/>
      </c>
      <c r="C239" s="55">
        <f>IF('04_DATA'!A236="","",IF(AND('04_DATA'!G236=1,'04_DATA'!H236=1,'04_DATA'!I236&gt;=3),"eligible","EXCLUDE"))</f>
        <v/>
      </c>
      <c r="D239" s="55">
        <f>IF('04_DATA'!A236="","",37-COUNT('04_DATA'!$K236:$AU236))</f>
        <v/>
      </c>
      <c r="E239" s="63">
        <f>IF('04_DATA'!A236="","",(37-COUNT('04_DATA'!$K236:$AU236))/37)</f>
        <v/>
      </c>
      <c r="F239" s="55">
        <f>IF('04_DATA'!A236="","",IF(AND(COUNT('04_DATA'!$K236:$AU236)=37,COUNTIF('04_DATA'!$K236:$AU236,INDEX('04_DATA'!$K236:$AU236,1))=37),"EXCLUDE","ok"))</f>
        <v/>
      </c>
      <c r="G239" s="55">
        <f>IF('04_DATA'!A236="","",IF('04_DATA'!D236&lt;PERCENTILE('04_DATA'!$D$2:$D$1001,0.05),"FLAG","ok"))</f>
        <v/>
      </c>
      <c r="H239" s="55">
        <f>IF('04_DATA'!A236="","",IF(OR(C239="EXCLUDE",F239="EXCLUDE"),"Exclude under pre-specified rule",IF(E239&gt;0.15,"Exclude: &gt;15% missing",IF(G239="FLAG","Retain; test in robustness battery","Retain"))))</f>
        <v/>
      </c>
    </row>
    <row r="240">
      <c r="A240" s="55" t="n">
        <v>237</v>
      </c>
      <c r="B240" s="55">
        <f>IF('04_DATA'!A237="","",'04_DATA'!A237)</f>
        <v/>
      </c>
      <c r="C240" s="55">
        <f>IF('04_DATA'!A237="","",IF(AND('04_DATA'!G237=1,'04_DATA'!H237=1,'04_DATA'!I237&gt;=3),"eligible","EXCLUDE"))</f>
        <v/>
      </c>
      <c r="D240" s="55">
        <f>IF('04_DATA'!A237="","",37-COUNT('04_DATA'!$K237:$AU237))</f>
        <v/>
      </c>
      <c r="E240" s="63">
        <f>IF('04_DATA'!A237="","",(37-COUNT('04_DATA'!$K237:$AU237))/37)</f>
        <v/>
      </c>
      <c r="F240" s="55">
        <f>IF('04_DATA'!A237="","",IF(AND(COUNT('04_DATA'!$K237:$AU237)=37,COUNTIF('04_DATA'!$K237:$AU237,INDEX('04_DATA'!$K237:$AU237,1))=37),"EXCLUDE","ok"))</f>
        <v/>
      </c>
      <c r="G240" s="55">
        <f>IF('04_DATA'!A237="","",IF('04_DATA'!D237&lt;PERCENTILE('04_DATA'!$D$2:$D$1001,0.05),"FLAG","ok"))</f>
        <v/>
      </c>
      <c r="H240" s="55">
        <f>IF('04_DATA'!A237="","",IF(OR(C240="EXCLUDE",F240="EXCLUDE"),"Exclude under pre-specified rule",IF(E240&gt;0.15,"Exclude: &gt;15% missing",IF(G240="FLAG","Retain; test in robustness battery","Retain"))))</f>
        <v/>
      </c>
    </row>
    <row r="241">
      <c r="A241" s="55" t="n">
        <v>238</v>
      </c>
      <c r="B241" s="55">
        <f>IF('04_DATA'!A238="","",'04_DATA'!A238)</f>
        <v/>
      </c>
      <c r="C241" s="55">
        <f>IF('04_DATA'!A238="","",IF(AND('04_DATA'!G238=1,'04_DATA'!H238=1,'04_DATA'!I238&gt;=3),"eligible","EXCLUDE"))</f>
        <v/>
      </c>
      <c r="D241" s="55">
        <f>IF('04_DATA'!A238="","",37-COUNT('04_DATA'!$K238:$AU238))</f>
        <v/>
      </c>
      <c r="E241" s="63">
        <f>IF('04_DATA'!A238="","",(37-COUNT('04_DATA'!$K238:$AU238))/37)</f>
        <v/>
      </c>
      <c r="F241" s="55">
        <f>IF('04_DATA'!A238="","",IF(AND(COUNT('04_DATA'!$K238:$AU238)=37,COUNTIF('04_DATA'!$K238:$AU238,INDEX('04_DATA'!$K238:$AU238,1))=37),"EXCLUDE","ok"))</f>
        <v/>
      </c>
      <c r="G241" s="55">
        <f>IF('04_DATA'!A238="","",IF('04_DATA'!D238&lt;PERCENTILE('04_DATA'!$D$2:$D$1001,0.05),"FLAG","ok"))</f>
        <v/>
      </c>
      <c r="H241" s="55">
        <f>IF('04_DATA'!A238="","",IF(OR(C241="EXCLUDE",F241="EXCLUDE"),"Exclude under pre-specified rule",IF(E241&gt;0.15,"Exclude: &gt;15% missing",IF(G241="FLAG","Retain; test in robustness battery","Retain"))))</f>
        <v/>
      </c>
    </row>
    <row r="242">
      <c r="A242" s="55" t="n">
        <v>239</v>
      </c>
      <c r="B242" s="55">
        <f>IF('04_DATA'!A239="","",'04_DATA'!A239)</f>
        <v/>
      </c>
      <c r="C242" s="55">
        <f>IF('04_DATA'!A239="","",IF(AND('04_DATA'!G239=1,'04_DATA'!H239=1,'04_DATA'!I239&gt;=3),"eligible","EXCLUDE"))</f>
        <v/>
      </c>
      <c r="D242" s="55">
        <f>IF('04_DATA'!A239="","",37-COUNT('04_DATA'!$K239:$AU239))</f>
        <v/>
      </c>
      <c r="E242" s="63">
        <f>IF('04_DATA'!A239="","",(37-COUNT('04_DATA'!$K239:$AU239))/37)</f>
        <v/>
      </c>
      <c r="F242" s="55">
        <f>IF('04_DATA'!A239="","",IF(AND(COUNT('04_DATA'!$K239:$AU239)=37,COUNTIF('04_DATA'!$K239:$AU239,INDEX('04_DATA'!$K239:$AU239,1))=37),"EXCLUDE","ok"))</f>
        <v/>
      </c>
      <c r="G242" s="55">
        <f>IF('04_DATA'!A239="","",IF('04_DATA'!D239&lt;PERCENTILE('04_DATA'!$D$2:$D$1001,0.05),"FLAG","ok"))</f>
        <v/>
      </c>
      <c r="H242" s="55">
        <f>IF('04_DATA'!A239="","",IF(OR(C242="EXCLUDE",F242="EXCLUDE"),"Exclude under pre-specified rule",IF(E242&gt;0.15,"Exclude: &gt;15% missing",IF(G242="FLAG","Retain; test in robustness battery","Retain"))))</f>
        <v/>
      </c>
    </row>
    <row r="243">
      <c r="A243" s="55" t="n">
        <v>240</v>
      </c>
      <c r="B243" s="55">
        <f>IF('04_DATA'!A240="","",'04_DATA'!A240)</f>
        <v/>
      </c>
      <c r="C243" s="55">
        <f>IF('04_DATA'!A240="","",IF(AND('04_DATA'!G240=1,'04_DATA'!H240=1,'04_DATA'!I240&gt;=3),"eligible","EXCLUDE"))</f>
        <v/>
      </c>
      <c r="D243" s="55">
        <f>IF('04_DATA'!A240="","",37-COUNT('04_DATA'!$K240:$AU240))</f>
        <v/>
      </c>
      <c r="E243" s="63">
        <f>IF('04_DATA'!A240="","",(37-COUNT('04_DATA'!$K240:$AU240))/37)</f>
        <v/>
      </c>
      <c r="F243" s="55">
        <f>IF('04_DATA'!A240="","",IF(AND(COUNT('04_DATA'!$K240:$AU240)=37,COUNTIF('04_DATA'!$K240:$AU240,INDEX('04_DATA'!$K240:$AU240,1))=37),"EXCLUDE","ok"))</f>
        <v/>
      </c>
      <c r="G243" s="55">
        <f>IF('04_DATA'!A240="","",IF('04_DATA'!D240&lt;PERCENTILE('04_DATA'!$D$2:$D$1001,0.05),"FLAG","ok"))</f>
        <v/>
      </c>
      <c r="H243" s="55">
        <f>IF('04_DATA'!A240="","",IF(OR(C243="EXCLUDE",F243="EXCLUDE"),"Exclude under pre-specified rule",IF(E243&gt;0.15,"Exclude: &gt;15% missing",IF(G243="FLAG","Retain; test in robustness battery","Retain"))))</f>
        <v/>
      </c>
    </row>
    <row r="244">
      <c r="A244" s="55" t="n">
        <v>241</v>
      </c>
      <c r="B244" s="55">
        <f>IF('04_DATA'!A241="","",'04_DATA'!A241)</f>
        <v/>
      </c>
      <c r="C244" s="55">
        <f>IF('04_DATA'!A241="","",IF(AND('04_DATA'!G241=1,'04_DATA'!H241=1,'04_DATA'!I241&gt;=3),"eligible","EXCLUDE"))</f>
        <v/>
      </c>
      <c r="D244" s="55">
        <f>IF('04_DATA'!A241="","",37-COUNT('04_DATA'!$K241:$AU241))</f>
        <v/>
      </c>
      <c r="E244" s="63">
        <f>IF('04_DATA'!A241="","",(37-COUNT('04_DATA'!$K241:$AU241))/37)</f>
        <v/>
      </c>
      <c r="F244" s="55">
        <f>IF('04_DATA'!A241="","",IF(AND(COUNT('04_DATA'!$K241:$AU241)=37,COUNTIF('04_DATA'!$K241:$AU241,INDEX('04_DATA'!$K241:$AU241,1))=37),"EXCLUDE","ok"))</f>
        <v/>
      </c>
      <c r="G244" s="55">
        <f>IF('04_DATA'!A241="","",IF('04_DATA'!D241&lt;PERCENTILE('04_DATA'!$D$2:$D$1001,0.05),"FLAG","ok"))</f>
        <v/>
      </c>
      <c r="H244" s="55">
        <f>IF('04_DATA'!A241="","",IF(OR(C244="EXCLUDE",F244="EXCLUDE"),"Exclude under pre-specified rule",IF(E244&gt;0.15,"Exclude: &gt;15% missing",IF(G244="FLAG","Retain; test in robustness battery","Retain"))))</f>
        <v/>
      </c>
    </row>
    <row r="245">
      <c r="A245" s="55" t="n">
        <v>242</v>
      </c>
      <c r="B245" s="55">
        <f>IF('04_DATA'!A242="","",'04_DATA'!A242)</f>
        <v/>
      </c>
      <c r="C245" s="55">
        <f>IF('04_DATA'!A242="","",IF(AND('04_DATA'!G242=1,'04_DATA'!H242=1,'04_DATA'!I242&gt;=3),"eligible","EXCLUDE"))</f>
        <v/>
      </c>
      <c r="D245" s="55">
        <f>IF('04_DATA'!A242="","",37-COUNT('04_DATA'!$K242:$AU242))</f>
        <v/>
      </c>
      <c r="E245" s="63">
        <f>IF('04_DATA'!A242="","",(37-COUNT('04_DATA'!$K242:$AU242))/37)</f>
        <v/>
      </c>
      <c r="F245" s="55">
        <f>IF('04_DATA'!A242="","",IF(AND(COUNT('04_DATA'!$K242:$AU242)=37,COUNTIF('04_DATA'!$K242:$AU242,INDEX('04_DATA'!$K242:$AU242,1))=37),"EXCLUDE","ok"))</f>
        <v/>
      </c>
      <c r="G245" s="55">
        <f>IF('04_DATA'!A242="","",IF('04_DATA'!D242&lt;PERCENTILE('04_DATA'!$D$2:$D$1001,0.05),"FLAG","ok"))</f>
        <v/>
      </c>
      <c r="H245" s="55">
        <f>IF('04_DATA'!A242="","",IF(OR(C245="EXCLUDE",F245="EXCLUDE"),"Exclude under pre-specified rule",IF(E245&gt;0.15,"Exclude: &gt;15% missing",IF(G245="FLAG","Retain; test in robustness battery","Retain"))))</f>
        <v/>
      </c>
    </row>
    <row r="246">
      <c r="A246" s="55" t="n">
        <v>243</v>
      </c>
      <c r="B246" s="55">
        <f>IF('04_DATA'!A243="","",'04_DATA'!A243)</f>
        <v/>
      </c>
      <c r="C246" s="55">
        <f>IF('04_DATA'!A243="","",IF(AND('04_DATA'!G243=1,'04_DATA'!H243=1,'04_DATA'!I243&gt;=3),"eligible","EXCLUDE"))</f>
        <v/>
      </c>
      <c r="D246" s="55">
        <f>IF('04_DATA'!A243="","",37-COUNT('04_DATA'!$K243:$AU243))</f>
        <v/>
      </c>
      <c r="E246" s="63">
        <f>IF('04_DATA'!A243="","",(37-COUNT('04_DATA'!$K243:$AU243))/37)</f>
        <v/>
      </c>
      <c r="F246" s="55">
        <f>IF('04_DATA'!A243="","",IF(AND(COUNT('04_DATA'!$K243:$AU243)=37,COUNTIF('04_DATA'!$K243:$AU243,INDEX('04_DATA'!$K243:$AU243,1))=37),"EXCLUDE","ok"))</f>
        <v/>
      </c>
      <c r="G246" s="55">
        <f>IF('04_DATA'!A243="","",IF('04_DATA'!D243&lt;PERCENTILE('04_DATA'!$D$2:$D$1001,0.05),"FLAG","ok"))</f>
        <v/>
      </c>
      <c r="H246" s="55">
        <f>IF('04_DATA'!A243="","",IF(OR(C246="EXCLUDE",F246="EXCLUDE"),"Exclude under pre-specified rule",IF(E246&gt;0.15,"Exclude: &gt;15% missing",IF(G246="FLAG","Retain; test in robustness battery","Retain"))))</f>
        <v/>
      </c>
    </row>
    <row r="247">
      <c r="A247" s="55" t="n">
        <v>244</v>
      </c>
      <c r="B247" s="55">
        <f>IF('04_DATA'!A244="","",'04_DATA'!A244)</f>
        <v/>
      </c>
      <c r="C247" s="55">
        <f>IF('04_DATA'!A244="","",IF(AND('04_DATA'!G244=1,'04_DATA'!H244=1,'04_DATA'!I244&gt;=3),"eligible","EXCLUDE"))</f>
        <v/>
      </c>
      <c r="D247" s="55">
        <f>IF('04_DATA'!A244="","",37-COUNT('04_DATA'!$K244:$AU244))</f>
        <v/>
      </c>
      <c r="E247" s="63">
        <f>IF('04_DATA'!A244="","",(37-COUNT('04_DATA'!$K244:$AU244))/37)</f>
        <v/>
      </c>
      <c r="F247" s="55">
        <f>IF('04_DATA'!A244="","",IF(AND(COUNT('04_DATA'!$K244:$AU244)=37,COUNTIF('04_DATA'!$K244:$AU244,INDEX('04_DATA'!$K244:$AU244,1))=37),"EXCLUDE","ok"))</f>
        <v/>
      </c>
      <c r="G247" s="55">
        <f>IF('04_DATA'!A244="","",IF('04_DATA'!D244&lt;PERCENTILE('04_DATA'!$D$2:$D$1001,0.05),"FLAG","ok"))</f>
        <v/>
      </c>
      <c r="H247" s="55">
        <f>IF('04_DATA'!A244="","",IF(OR(C247="EXCLUDE",F247="EXCLUDE"),"Exclude under pre-specified rule",IF(E247&gt;0.15,"Exclude: &gt;15% missing",IF(G247="FLAG","Retain; test in robustness battery","Retain"))))</f>
        <v/>
      </c>
    </row>
    <row r="248">
      <c r="A248" s="55" t="n">
        <v>245</v>
      </c>
      <c r="B248" s="55">
        <f>IF('04_DATA'!A245="","",'04_DATA'!A245)</f>
        <v/>
      </c>
      <c r="C248" s="55">
        <f>IF('04_DATA'!A245="","",IF(AND('04_DATA'!G245=1,'04_DATA'!H245=1,'04_DATA'!I245&gt;=3),"eligible","EXCLUDE"))</f>
        <v/>
      </c>
      <c r="D248" s="55">
        <f>IF('04_DATA'!A245="","",37-COUNT('04_DATA'!$K245:$AU245))</f>
        <v/>
      </c>
      <c r="E248" s="63">
        <f>IF('04_DATA'!A245="","",(37-COUNT('04_DATA'!$K245:$AU245))/37)</f>
        <v/>
      </c>
      <c r="F248" s="55">
        <f>IF('04_DATA'!A245="","",IF(AND(COUNT('04_DATA'!$K245:$AU245)=37,COUNTIF('04_DATA'!$K245:$AU245,INDEX('04_DATA'!$K245:$AU245,1))=37),"EXCLUDE","ok"))</f>
        <v/>
      </c>
      <c r="G248" s="55">
        <f>IF('04_DATA'!A245="","",IF('04_DATA'!D245&lt;PERCENTILE('04_DATA'!$D$2:$D$1001,0.05),"FLAG","ok"))</f>
        <v/>
      </c>
      <c r="H248" s="55">
        <f>IF('04_DATA'!A245="","",IF(OR(C248="EXCLUDE",F248="EXCLUDE"),"Exclude under pre-specified rule",IF(E248&gt;0.15,"Exclude: &gt;15% missing",IF(G248="FLAG","Retain; test in robustness battery","Retain"))))</f>
        <v/>
      </c>
    </row>
    <row r="249">
      <c r="A249" s="55" t="n">
        <v>246</v>
      </c>
      <c r="B249" s="55">
        <f>IF('04_DATA'!A246="","",'04_DATA'!A246)</f>
        <v/>
      </c>
      <c r="C249" s="55">
        <f>IF('04_DATA'!A246="","",IF(AND('04_DATA'!G246=1,'04_DATA'!H246=1,'04_DATA'!I246&gt;=3),"eligible","EXCLUDE"))</f>
        <v/>
      </c>
      <c r="D249" s="55">
        <f>IF('04_DATA'!A246="","",37-COUNT('04_DATA'!$K246:$AU246))</f>
        <v/>
      </c>
      <c r="E249" s="63">
        <f>IF('04_DATA'!A246="","",(37-COUNT('04_DATA'!$K246:$AU246))/37)</f>
        <v/>
      </c>
      <c r="F249" s="55">
        <f>IF('04_DATA'!A246="","",IF(AND(COUNT('04_DATA'!$K246:$AU246)=37,COUNTIF('04_DATA'!$K246:$AU246,INDEX('04_DATA'!$K246:$AU246,1))=37),"EXCLUDE","ok"))</f>
        <v/>
      </c>
      <c r="G249" s="55">
        <f>IF('04_DATA'!A246="","",IF('04_DATA'!D246&lt;PERCENTILE('04_DATA'!$D$2:$D$1001,0.05),"FLAG","ok"))</f>
        <v/>
      </c>
      <c r="H249" s="55">
        <f>IF('04_DATA'!A246="","",IF(OR(C249="EXCLUDE",F249="EXCLUDE"),"Exclude under pre-specified rule",IF(E249&gt;0.15,"Exclude: &gt;15% missing",IF(G249="FLAG","Retain; test in robustness battery","Retain"))))</f>
        <v/>
      </c>
    </row>
    <row r="250">
      <c r="A250" s="55" t="n">
        <v>247</v>
      </c>
      <c r="B250" s="55">
        <f>IF('04_DATA'!A247="","",'04_DATA'!A247)</f>
        <v/>
      </c>
      <c r="C250" s="55">
        <f>IF('04_DATA'!A247="","",IF(AND('04_DATA'!G247=1,'04_DATA'!H247=1,'04_DATA'!I247&gt;=3),"eligible","EXCLUDE"))</f>
        <v/>
      </c>
      <c r="D250" s="55">
        <f>IF('04_DATA'!A247="","",37-COUNT('04_DATA'!$K247:$AU247))</f>
        <v/>
      </c>
      <c r="E250" s="63">
        <f>IF('04_DATA'!A247="","",(37-COUNT('04_DATA'!$K247:$AU247))/37)</f>
        <v/>
      </c>
      <c r="F250" s="55">
        <f>IF('04_DATA'!A247="","",IF(AND(COUNT('04_DATA'!$K247:$AU247)=37,COUNTIF('04_DATA'!$K247:$AU247,INDEX('04_DATA'!$K247:$AU247,1))=37),"EXCLUDE","ok"))</f>
        <v/>
      </c>
      <c r="G250" s="55">
        <f>IF('04_DATA'!A247="","",IF('04_DATA'!D247&lt;PERCENTILE('04_DATA'!$D$2:$D$1001,0.05),"FLAG","ok"))</f>
        <v/>
      </c>
      <c r="H250" s="55">
        <f>IF('04_DATA'!A247="","",IF(OR(C250="EXCLUDE",F250="EXCLUDE"),"Exclude under pre-specified rule",IF(E250&gt;0.15,"Exclude: &gt;15% missing",IF(G250="FLAG","Retain; test in robustness battery","Retain"))))</f>
        <v/>
      </c>
    </row>
    <row r="251">
      <c r="A251" s="55" t="n">
        <v>248</v>
      </c>
      <c r="B251" s="55">
        <f>IF('04_DATA'!A248="","",'04_DATA'!A248)</f>
        <v/>
      </c>
      <c r="C251" s="55">
        <f>IF('04_DATA'!A248="","",IF(AND('04_DATA'!G248=1,'04_DATA'!H248=1,'04_DATA'!I248&gt;=3),"eligible","EXCLUDE"))</f>
        <v/>
      </c>
      <c r="D251" s="55">
        <f>IF('04_DATA'!A248="","",37-COUNT('04_DATA'!$K248:$AU248))</f>
        <v/>
      </c>
      <c r="E251" s="63">
        <f>IF('04_DATA'!A248="","",(37-COUNT('04_DATA'!$K248:$AU248))/37)</f>
        <v/>
      </c>
      <c r="F251" s="55">
        <f>IF('04_DATA'!A248="","",IF(AND(COUNT('04_DATA'!$K248:$AU248)=37,COUNTIF('04_DATA'!$K248:$AU248,INDEX('04_DATA'!$K248:$AU248,1))=37),"EXCLUDE","ok"))</f>
        <v/>
      </c>
      <c r="G251" s="55">
        <f>IF('04_DATA'!A248="","",IF('04_DATA'!D248&lt;PERCENTILE('04_DATA'!$D$2:$D$1001,0.05),"FLAG","ok"))</f>
        <v/>
      </c>
      <c r="H251" s="55">
        <f>IF('04_DATA'!A248="","",IF(OR(C251="EXCLUDE",F251="EXCLUDE"),"Exclude under pre-specified rule",IF(E251&gt;0.15,"Exclude: &gt;15% missing",IF(G251="FLAG","Retain; test in robustness battery","Retain"))))</f>
        <v/>
      </c>
    </row>
    <row r="252">
      <c r="A252" s="55" t="n">
        <v>249</v>
      </c>
      <c r="B252" s="55">
        <f>IF('04_DATA'!A249="","",'04_DATA'!A249)</f>
        <v/>
      </c>
      <c r="C252" s="55">
        <f>IF('04_DATA'!A249="","",IF(AND('04_DATA'!G249=1,'04_DATA'!H249=1,'04_DATA'!I249&gt;=3),"eligible","EXCLUDE"))</f>
        <v/>
      </c>
      <c r="D252" s="55">
        <f>IF('04_DATA'!A249="","",37-COUNT('04_DATA'!$K249:$AU249))</f>
        <v/>
      </c>
      <c r="E252" s="63">
        <f>IF('04_DATA'!A249="","",(37-COUNT('04_DATA'!$K249:$AU249))/37)</f>
        <v/>
      </c>
      <c r="F252" s="55">
        <f>IF('04_DATA'!A249="","",IF(AND(COUNT('04_DATA'!$K249:$AU249)=37,COUNTIF('04_DATA'!$K249:$AU249,INDEX('04_DATA'!$K249:$AU249,1))=37),"EXCLUDE","ok"))</f>
        <v/>
      </c>
      <c r="G252" s="55">
        <f>IF('04_DATA'!A249="","",IF('04_DATA'!D249&lt;PERCENTILE('04_DATA'!$D$2:$D$1001,0.05),"FLAG","ok"))</f>
        <v/>
      </c>
      <c r="H252" s="55">
        <f>IF('04_DATA'!A249="","",IF(OR(C252="EXCLUDE",F252="EXCLUDE"),"Exclude under pre-specified rule",IF(E252&gt;0.15,"Exclude: &gt;15% missing",IF(G252="FLAG","Retain; test in robustness battery","Retain"))))</f>
        <v/>
      </c>
    </row>
    <row r="253">
      <c r="A253" s="55" t="n">
        <v>250</v>
      </c>
      <c r="B253" s="55">
        <f>IF('04_DATA'!A250="","",'04_DATA'!A250)</f>
        <v/>
      </c>
      <c r="C253" s="55">
        <f>IF('04_DATA'!A250="","",IF(AND('04_DATA'!G250=1,'04_DATA'!H250=1,'04_DATA'!I250&gt;=3),"eligible","EXCLUDE"))</f>
        <v/>
      </c>
      <c r="D253" s="55">
        <f>IF('04_DATA'!A250="","",37-COUNT('04_DATA'!$K250:$AU250))</f>
        <v/>
      </c>
      <c r="E253" s="63">
        <f>IF('04_DATA'!A250="","",(37-COUNT('04_DATA'!$K250:$AU250))/37)</f>
        <v/>
      </c>
      <c r="F253" s="55">
        <f>IF('04_DATA'!A250="","",IF(AND(COUNT('04_DATA'!$K250:$AU250)=37,COUNTIF('04_DATA'!$K250:$AU250,INDEX('04_DATA'!$K250:$AU250,1))=37),"EXCLUDE","ok"))</f>
        <v/>
      </c>
      <c r="G253" s="55">
        <f>IF('04_DATA'!A250="","",IF('04_DATA'!D250&lt;PERCENTILE('04_DATA'!$D$2:$D$1001,0.05),"FLAG","ok"))</f>
        <v/>
      </c>
      <c r="H253" s="55">
        <f>IF('04_DATA'!A250="","",IF(OR(C253="EXCLUDE",F253="EXCLUDE"),"Exclude under pre-specified rule",IF(E253&gt;0.15,"Exclude: &gt;15% missing",IF(G253="FLAG","Retain; test in robustness battery","Retain"))))</f>
        <v/>
      </c>
    </row>
    <row r="254">
      <c r="A254" s="55" t="n">
        <v>251</v>
      </c>
      <c r="B254" s="55">
        <f>IF('04_DATA'!A251="","",'04_DATA'!A251)</f>
        <v/>
      </c>
      <c r="C254" s="55">
        <f>IF('04_DATA'!A251="","",IF(AND('04_DATA'!G251=1,'04_DATA'!H251=1,'04_DATA'!I251&gt;=3),"eligible","EXCLUDE"))</f>
        <v/>
      </c>
      <c r="D254" s="55">
        <f>IF('04_DATA'!A251="","",37-COUNT('04_DATA'!$K251:$AU251))</f>
        <v/>
      </c>
      <c r="E254" s="63">
        <f>IF('04_DATA'!A251="","",(37-COUNT('04_DATA'!$K251:$AU251))/37)</f>
        <v/>
      </c>
      <c r="F254" s="55">
        <f>IF('04_DATA'!A251="","",IF(AND(COUNT('04_DATA'!$K251:$AU251)=37,COUNTIF('04_DATA'!$K251:$AU251,INDEX('04_DATA'!$K251:$AU251,1))=37),"EXCLUDE","ok"))</f>
        <v/>
      </c>
      <c r="G254" s="55">
        <f>IF('04_DATA'!A251="","",IF('04_DATA'!D251&lt;PERCENTILE('04_DATA'!$D$2:$D$1001,0.05),"FLAG","ok"))</f>
        <v/>
      </c>
      <c r="H254" s="55">
        <f>IF('04_DATA'!A251="","",IF(OR(C254="EXCLUDE",F254="EXCLUDE"),"Exclude under pre-specified rule",IF(E254&gt;0.15,"Exclude: &gt;15% missing",IF(G254="FLAG","Retain; test in robustness battery","Retain"))))</f>
        <v/>
      </c>
    </row>
    <row r="255">
      <c r="A255" s="55" t="n">
        <v>252</v>
      </c>
      <c r="B255" s="55">
        <f>IF('04_DATA'!A252="","",'04_DATA'!A252)</f>
        <v/>
      </c>
      <c r="C255" s="55">
        <f>IF('04_DATA'!A252="","",IF(AND('04_DATA'!G252=1,'04_DATA'!H252=1,'04_DATA'!I252&gt;=3),"eligible","EXCLUDE"))</f>
        <v/>
      </c>
      <c r="D255" s="55">
        <f>IF('04_DATA'!A252="","",37-COUNT('04_DATA'!$K252:$AU252))</f>
        <v/>
      </c>
      <c r="E255" s="63">
        <f>IF('04_DATA'!A252="","",(37-COUNT('04_DATA'!$K252:$AU252))/37)</f>
        <v/>
      </c>
      <c r="F255" s="55">
        <f>IF('04_DATA'!A252="","",IF(AND(COUNT('04_DATA'!$K252:$AU252)=37,COUNTIF('04_DATA'!$K252:$AU252,INDEX('04_DATA'!$K252:$AU252,1))=37),"EXCLUDE","ok"))</f>
        <v/>
      </c>
      <c r="G255" s="55">
        <f>IF('04_DATA'!A252="","",IF('04_DATA'!D252&lt;PERCENTILE('04_DATA'!$D$2:$D$1001,0.05),"FLAG","ok"))</f>
        <v/>
      </c>
      <c r="H255" s="55">
        <f>IF('04_DATA'!A252="","",IF(OR(C255="EXCLUDE",F255="EXCLUDE"),"Exclude under pre-specified rule",IF(E255&gt;0.15,"Exclude: &gt;15% missing",IF(G255="FLAG","Retain; test in robustness battery","Retain"))))</f>
        <v/>
      </c>
    </row>
    <row r="256">
      <c r="A256" s="55" t="n">
        <v>253</v>
      </c>
      <c r="B256" s="55">
        <f>IF('04_DATA'!A253="","",'04_DATA'!A253)</f>
        <v/>
      </c>
      <c r="C256" s="55">
        <f>IF('04_DATA'!A253="","",IF(AND('04_DATA'!G253=1,'04_DATA'!H253=1,'04_DATA'!I253&gt;=3),"eligible","EXCLUDE"))</f>
        <v/>
      </c>
      <c r="D256" s="55">
        <f>IF('04_DATA'!A253="","",37-COUNT('04_DATA'!$K253:$AU253))</f>
        <v/>
      </c>
      <c r="E256" s="63">
        <f>IF('04_DATA'!A253="","",(37-COUNT('04_DATA'!$K253:$AU253))/37)</f>
        <v/>
      </c>
      <c r="F256" s="55">
        <f>IF('04_DATA'!A253="","",IF(AND(COUNT('04_DATA'!$K253:$AU253)=37,COUNTIF('04_DATA'!$K253:$AU253,INDEX('04_DATA'!$K253:$AU253,1))=37),"EXCLUDE","ok"))</f>
        <v/>
      </c>
      <c r="G256" s="55">
        <f>IF('04_DATA'!A253="","",IF('04_DATA'!D253&lt;PERCENTILE('04_DATA'!$D$2:$D$1001,0.05),"FLAG","ok"))</f>
        <v/>
      </c>
      <c r="H256" s="55">
        <f>IF('04_DATA'!A253="","",IF(OR(C256="EXCLUDE",F256="EXCLUDE"),"Exclude under pre-specified rule",IF(E256&gt;0.15,"Exclude: &gt;15% missing",IF(G256="FLAG","Retain; test in robustness battery","Retain"))))</f>
        <v/>
      </c>
    </row>
    <row r="257">
      <c r="A257" s="55" t="n">
        <v>254</v>
      </c>
      <c r="B257" s="55">
        <f>IF('04_DATA'!A254="","",'04_DATA'!A254)</f>
        <v/>
      </c>
      <c r="C257" s="55">
        <f>IF('04_DATA'!A254="","",IF(AND('04_DATA'!G254=1,'04_DATA'!H254=1,'04_DATA'!I254&gt;=3),"eligible","EXCLUDE"))</f>
        <v/>
      </c>
      <c r="D257" s="55">
        <f>IF('04_DATA'!A254="","",37-COUNT('04_DATA'!$K254:$AU254))</f>
        <v/>
      </c>
      <c r="E257" s="63">
        <f>IF('04_DATA'!A254="","",(37-COUNT('04_DATA'!$K254:$AU254))/37)</f>
        <v/>
      </c>
      <c r="F257" s="55">
        <f>IF('04_DATA'!A254="","",IF(AND(COUNT('04_DATA'!$K254:$AU254)=37,COUNTIF('04_DATA'!$K254:$AU254,INDEX('04_DATA'!$K254:$AU254,1))=37),"EXCLUDE","ok"))</f>
        <v/>
      </c>
      <c r="G257" s="55">
        <f>IF('04_DATA'!A254="","",IF('04_DATA'!D254&lt;PERCENTILE('04_DATA'!$D$2:$D$1001,0.05),"FLAG","ok"))</f>
        <v/>
      </c>
      <c r="H257" s="55">
        <f>IF('04_DATA'!A254="","",IF(OR(C257="EXCLUDE",F257="EXCLUDE"),"Exclude under pre-specified rule",IF(E257&gt;0.15,"Exclude: &gt;15% missing",IF(G257="FLAG","Retain; test in robustness battery","Retain"))))</f>
        <v/>
      </c>
    </row>
    <row r="258">
      <c r="A258" s="55" t="n">
        <v>255</v>
      </c>
      <c r="B258" s="55">
        <f>IF('04_DATA'!A255="","",'04_DATA'!A255)</f>
        <v/>
      </c>
      <c r="C258" s="55">
        <f>IF('04_DATA'!A255="","",IF(AND('04_DATA'!G255=1,'04_DATA'!H255=1,'04_DATA'!I255&gt;=3),"eligible","EXCLUDE"))</f>
        <v/>
      </c>
      <c r="D258" s="55">
        <f>IF('04_DATA'!A255="","",37-COUNT('04_DATA'!$K255:$AU255))</f>
        <v/>
      </c>
      <c r="E258" s="63">
        <f>IF('04_DATA'!A255="","",(37-COUNT('04_DATA'!$K255:$AU255))/37)</f>
        <v/>
      </c>
      <c r="F258" s="55">
        <f>IF('04_DATA'!A255="","",IF(AND(COUNT('04_DATA'!$K255:$AU255)=37,COUNTIF('04_DATA'!$K255:$AU255,INDEX('04_DATA'!$K255:$AU255,1))=37),"EXCLUDE","ok"))</f>
        <v/>
      </c>
      <c r="G258" s="55">
        <f>IF('04_DATA'!A255="","",IF('04_DATA'!D255&lt;PERCENTILE('04_DATA'!$D$2:$D$1001,0.05),"FLAG","ok"))</f>
        <v/>
      </c>
      <c r="H258" s="55">
        <f>IF('04_DATA'!A255="","",IF(OR(C258="EXCLUDE",F258="EXCLUDE"),"Exclude under pre-specified rule",IF(E258&gt;0.15,"Exclude: &gt;15% missing",IF(G258="FLAG","Retain; test in robustness battery","Retain"))))</f>
        <v/>
      </c>
    </row>
    <row r="259">
      <c r="A259" s="55" t="n">
        <v>256</v>
      </c>
      <c r="B259" s="55">
        <f>IF('04_DATA'!A256="","",'04_DATA'!A256)</f>
        <v/>
      </c>
      <c r="C259" s="55">
        <f>IF('04_DATA'!A256="","",IF(AND('04_DATA'!G256=1,'04_DATA'!H256=1,'04_DATA'!I256&gt;=3),"eligible","EXCLUDE"))</f>
        <v/>
      </c>
      <c r="D259" s="55">
        <f>IF('04_DATA'!A256="","",37-COUNT('04_DATA'!$K256:$AU256))</f>
        <v/>
      </c>
      <c r="E259" s="63">
        <f>IF('04_DATA'!A256="","",(37-COUNT('04_DATA'!$K256:$AU256))/37)</f>
        <v/>
      </c>
      <c r="F259" s="55">
        <f>IF('04_DATA'!A256="","",IF(AND(COUNT('04_DATA'!$K256:$AU256)=37,COUNTIF('04_DATA'!$K256:$AU256,INDEX('04_DATA'!$K256:$AU256,1))=37),"EXCLUDE","ok"))</f>
        <v/>
      </c>
      <c r="G259" s="55">
        <f>IF('04_DATA'!A256="","",IF('04_DATA'!D256&lt;PERCENTILE('04_DATA'!$D$2:$D$1001,0.05),"FLAG","ok"))</f>
        <v/>
      </c>
      <c r="H259" s="55">
        <f>IF('04_DATA'!A256="","",IF(OR(C259="EXCLUDE",F259="EXCLUDE"),"Exclude under pre-specified rule",IF(E259&gt;0.15,"Exclude: &gt;15% missing",IF(G259="FLAG","Retain; test in robustness battery","Retain"))))</f>
        <v/>
      </c>
    </row>
    <row r="260">
      <c r="A260" s="55" t="n">
        <v>257</v>
      </c>
      <c r="B260" s="55">
        <f>IF('04_DATA'!A257="","",'04_DATA'!A257)</f>
        <v/>
      </c>
      <c r="C260" s="55">
        <f>IF('04_DATA'!A257="","",IF(AND('04_DATA'!G257=1,'04_DATA'!H257=1,'04_DATA'!I257&gt;=3),"eligible","EXCLUDE"))</f>
        <v/>
      </c>
      <c r="D260" s="55">
        <f>IF('04_DATA'!A257="","",37-COUNT('04_DATA'!$K257:$AU257))</f>
        <v/>
      </c>
      <c r="E260" s="63">
        <f>IF('04_DATA'!A257="","",(37-COUNT('04_DATA'!$K257:$AU257))/37)</f>
        <v/>
      </c>
      <c r="F260" s="55">
        <f>IF('04_DATA'!A257="","",IF(AND(COUNT('04_DATA'!$K257:$AU257)=37,COUNTIF('04_DATA'!$K257:$AU257,INDEX('04_DATA'!$K257:$AU257,1))=37),"EXCLUDE","ok"))</f>
        <v/>
      </c>
      <c r="G260" s="55">
        <f>IF('04_DATA'!A257="","",IF('04_DATA'!D257&lt;PERCENTILE('04_DATA'!$D$2:$D$1001,0.05),"FLAG","ok"))</f>
        <v/>
      </c>
      <c r="H260" s="55">
        <f>IF('04_DATA'!A257="","",IF(OR(C260="EXCLUDE",F260="EXCLUDE"),"Exclude under pre-specified rule",IF(E260&gt;0.15,"Exclude: &gt;15% missing",IF(G260="FLAG","Retain; test in robustness battery","Retain"))))</f>
        <v/>
      </c>
    </row>
    <row r="261">
      <c r="A261" s="55" t="n">
        <v>258</v>
      </c>
      <c r="B261" s="55">
        <f>IF('04_DATA'!A258="","",'04_DATA'!A258)</f>
        <v/>
      </c>
      <c r="C261" s="55">
        <f>IF('04_DATA'!A258="","",IF(AND('04_DATA'!G258=1,'04_DATA'!H258=1,'04_DATA'!I258&gt;=3),"eligible","EXCLUDE"))</f>
        <v/>
      </c>
      <c r="D261" s="55">
        <f>IF('04_DATA'!A258="","",37-COUNT('04_DATA'!$K258:$AU258))</f>
        <v/>
      </c>
      <c r="E261" s="63">
        <f>IF('04_DATA'!A258="","",(37-COUNT('04_DATA'!$K258:$AU258))/37)</f>
        <v/>
      </c>
      <c r="F261" s="55">
        <f>IF('04_DATA'!A258="","",IF(AND(COUNT('04_DATA'!$K258:$AU258)=37,COUNTIF('04_DATA'!$K258:$AU258,INDEX('04_DATA'!$K258:$AU258,1))=37),"EXCLUDE","ok"))</f>
        <v/>
      </c>
      <c r="G261" s="55">
        <f>IF('04_DATA'!A258="","",IF('04_DATA'!D258&lt;PERCENTILE('04_DATA'!$D$2:$D$1001,0.05),"FLAG","ok"))</f>
        <v/>
      </c>
      <c r="H261" s="55">
        <f>IF('04_DATA'!A258="","",IF(OR(C261="EXCLUDE",F261="EXCLUDE"),"Exclude under pre-specified rule",IF(E261&gt;0.15,"Exclude: &gt;15% missing",IF(G261="FLAG","Retain; test in robustness battery","Retain"))))</f>
        <v/>
      </c>
    </row>
    <row r="262">
      <c r="A262" s="55" t="n">
        <v>259</v>
      </c>
      <c r="B262" s="55">
        <f>IF('04_DATA'!A259="","",'04_DATA'!A259)</f>
        <v/>
      </c>
      <c r="C262" s="55">
        <f>IF('04_DATA'!A259="","",IF(AND('04_DATA'!G259=1,'04_DATA'!H259=1,'04_DATA'!I259&gt;=3),"eligible","EXCLUDE"))</f>
        <v/>
      </c>
      <c r="D262" s="55">
        <f>IF('04_DATA'!A259="","",37-COUNT('04_DATA'!$K259:$AU259))</f>
        <v/>
      </c>
      <c r="E262" s="63">
        <f>IF('04_DATA'!A259="","",(37-COUNT('04_DATA'!$K259:$AU259))/37)</f>
        <v/>
      </c>
      <c r="F262" s="55">
        <f>IF('04_DATA'!A259="","",IF(AND(COUNT('04_DATA'!$K259:$AU259)=37,COUNTIF('04_DATA'!$K259:$AU259,INDEX('04_DATA'!$K259:$AU259,1))=37),"EXCLUDE","ok"))</f>
        <v/>
      </c>
      <c r="G262" s="55">
        <f>IF('04_DATA'!A259="","",IF('04_DATA'!D259&lt;PERCENTILE('04_DATA'!$D$2:$D$1001,0.05),"FLAG","ok"))</f>
        <v/>
      </c>
      <c r="H262" s="55">
        <f>IF('04_DATA'!A259="","",IF(OR(C262="EXCLUDE",F262="EXCLUDE"),"Exclude under pre-specified rule",IF(E262&gt;0.15,"Exclude: &gt;15% missing",IF(G262="FLAG","Retain; test in robustness battery","Retain"))))</f>
        <v/>
      </c>
    </row>
    <row r="263">
      <c r="A263" s="55" t="n">
        <v>260</v>
      </c>
      <c r="B263" s="55">
        <f>IF('04_DATA'!A260="","",'04_DATA'!A260)</f>
        <v/>
      </c>
      <c r="C263" s="55">
        <f>IF('04_DATA'!A260="","",IF(AND('04_DATA'!G260=1,'04_DATA'!H260=1,'04_DATA'!I260&gt;=3),"eligible","EXCLUDE"))</f>
        <v/>
      </c>
      <c r="D263" s="55">
        <f>IF('04_DATA'!A260="","",37-COUNT('04_DATA'!$K260:$AU260))</f>
        <v/>
      </c>
      <c r="E263" s="63">
        <f>IF('04_DATA'!A260="","",(37-COUNT('04_DATA'!$K260:$AU260))/37)</f>
        <v/>
      </c>
      <c r="F263" s="55">
        <f>IF('04_DATA'!A260="","",IF(AND(COUNT('04_DATA'!$K260:$AU260)=37,COUNTIF('04_DATA'!$K260:$AU260,INDEX('04_DATA'!$K260:$AU260,1))=37),"EXCLUDE","ok"))</f>
        <v/>
      </c>
      <c r="G263" s="55">
        <f>IF('04_DATA'!A260="","",IF('04_DATA'!D260&lt;PERCENTILE('04_DATA'!$D$2:$D$1001,0.05),"FLAG","ok"))</f>
        <v/>
      </c>
      <c r="H263" s="55">
        <f>IF('04_DATA'!A260="","",IF(OR(C263="EXCLUDE",F263="EXCLUDE"),"Exclude under pre-specified rule",IF(E263&gt;0.15,"Exclude: &gt;15% missing",IF(G263="FLAG","Retain; test in robustness battery","Retain"))))</f>
        <v/>
      </c>
    </row>
    <row r="264">
      <c r="A264" s="55" t="n">
        <v>261</v>
      </c>
      <c r="B264" s="55">
        <f>IF('04_DATA'!A261="","",'04_DATA'!A261)</f>
        <v/>
      </c>
      <c r="C264" s="55">
        <f>IF('04_DATA'!A261="","",IF(AND('04_DATA'!G261=1,'04_DATA'!H261=1,'04_DATA'!I261&gt;=3),"eligible","EXCLUDE"))</f>
        <v/>
      </c>
      <c r="D264" s="55">
        <f>IF('04_DATA'!A261="","",37-COUNT('04_DATA'!$K261:$AU261))</f>
        <v/>
      </c>
      <c r="E264" s="63">
        <f>IF('04_DATA'!A261="","",(37-COUNT('04_DATA'!$K261:$AU261))/37)</f>
        <v/>
      </c>
      <c r="F264" s="55">
        <f>IF('04_DATA'!A261="","",IF(AND(COUNT('04_DATA'!$K261:$AU261)=37,COUNTIF('04_DATA'!$K261:$AU261,INDEX('04_DATA'!$K261:$AU261,1))=37),"EXCLUDE","ok"))</f>
        <v/>
      </c>
      <c r="G264" s="55">
        <f>IF('04_DATA'!A261="","",IF('04_DATA'!D261&lt;PERCENTILE('04_DATA'!$D$2:$D$1001,0.05),"FLAG","ok"))</f>
        <v/>
      </c>
      <c r="H264" s="55">
        <f>IF('04_DATA'!A261="","",IF(OR(C264="EXCLUDE",F264="EXCLUDE"),"Exclude under pre-specified rule",IF(E264&gt;0.15,"Exclude: &gt;15% missing",IF(G264="FLAG","Retain; test in robustness battery","Retain"))))</f>
        <v/>
      </c>
    </row>
    <row r="265">
      <c r="A265" s="55" t="n">
        <v>262</v>
      </c>
      <c r="B265" s="55">
        <f>IF('04_DATA'!A262="","",'04_DATA'!A262)</f>
        <v/>
      </c>
      <c r="C265" s="55">
        <f>IF('04_DATA'!A262="","",IF(AND('04_DATA'!G262=1,'04_DATA'!H262=1,'04_DATA'!I262&gt;=3),"eligible","EXCLUDE"))</f>
        <v/>
      </c>
      <c r="D265" s="55">
        <f>IF('04_DATA'!A262="","",37-COUNT('04_DATA'!$K262:$AU262))</f>
        <v/>
      </c>
      <c r="E265" s="63">
        <f>IF('04_DATA'!A262="","",(37-COUNT('04_DATA'!$K262:$AU262))/37)</f>
        <v/>
      </c>
      <c r="F265" s="55">
        <f>IF('04_DATA'!A262="","",IF(AND(COUNT('04_DATA'!$K262:$AU262)=37,COUNTIF('04_DATA'!$K262:$AU262,INDEX('04_DATA'!$K262:$AU262,1))=37),"EXCLUDE","ok"))</f>
        <v/>
      </c>
      <c r="G265" s="55">
        <f>IF('04_DATA'!A262="","",IF('04_DATA'!D262&lt;PERCENTILE('04_DATA'!$D$2:$D$1001,0.05),"FLAG","ok"))</f>
        <v/>
      </c>
      <c r="H265" s="55">
        <f>IF('04_DATA'!A262="","",IF(OR(C265="EXCLUDE",F265="EXCLUDE"),"Exclude under pre-specified rule",IF(E265&gt;0.15,"Exclude: &gt;15% missing",IF(G265="FLAG","Retain; test in robustness battery","Retain"))))</f>
        <v/>
      </c>
    </row>
    <row r="266">
      <c r="A266" s="55" t="n">
        <v>263</v>
      </c>
      <c r="B266" s="55">
        <f>IF('04_DATA'!A263="","",'04_DATA'!A263)</f>
        <v/>
      </c>
      <c r="C266" s="55">
        <f>IF('04_DATA'!A263="","",IF(AND('04_DATA'!G263=1,'04_DATA'!H263=1,'04_DATA'!I263&gt;=3),"eligible","EXCLUDE"))</f>
        <v/>
      </c>
      <c r="D266" s="55">
        <f>IF('04_DATA'!A263="","",37-COUNT('04_DATA'!$K263:$AU263))</f>
        <v/>
      </c>
      <c r="E266" s="63">
        <f>IF('04_DATA'!A263="","",(37-COUNT('04_DATA'!$K263:$AU263))/37)</f>
        <v/>
      </c>
      <c r="F266" s="55">
        <f>IF('04_DATA'!A263="","",IF(AND(COUNT('04_DATA'!$K263:$AU263)=37,COUNTIF('04_DATA'!$K263:$AU263,INDEX('04_DATA'!$K263:$AU263,1))=37),"EXCLUDE","ok"))</f>
        <v/>
      </c>
      <c r="G266" s="55">
        <f>IF('04_DATA'!A263="","",IF('04_DATA'!D263&lt;PERCENTILE('04_DATA'!$D$2:$D$1001,0.05),"FLAG","ok"))</f>
        <v/>
      </c>
      <c r="H266" s="55">
        <f>IF('04_DATA'!A263="","",IF(OR(C266="EXCLUDE",F266="EXCLUDE"),"Exclude under pre-specified rule",IF(E266&gt;0.15,"Exclude: &gt;15% missing",IF(G266="FLAG","Retain; test in robustness battery","Retain"))))</f>
        <v/>
      </c>
    </row>
    <row r="267">
      <c r="A267" s="55" t="n">
        <v>264</v>
      </c>
      <c r="B267" s="55">
        <f>IF('04_DATA'!A264="","",'04_DATA'!A264)</f>
        <v/>
      </c>
      <c r="C267" s="55">
        <f>IF('04_DATA'!A264="","",IF(AND('04_DATA'!G264=1,'04_DATA'!H264=1,'04_DATA'!I264&gt;=3),"eligible","EXCLUDE"))</f>
        <v/>
      </c>
      <c r="D267" s="55">
        <f>IF('04_DATA'!A264="","",37-COUNT('04_DATA'!$K264:$AU264))</f>
        <v/>
      </c>
      <c r="E267" s="63">
        <f>IF('04_DATA'!A264="","",(37-COUNT('04_DATA'!$K264:$AU264))/37)</f>
        <v/>
      </c>
      <c r="F267" s="55">
        <f>IF('04_DATA'!A264="","",IF(AND(COUNT('04_DATA'!$K264:$AU264)=37,COUNTIF('04_DATA'!$K264:$AU264,INDEX('04_DATA'!$K264:$AU264,1))=37),"EXCLUDE","ok"))</f>
        <v/>
      </c>
      <c r="G267" s="55">
        <f>IF('04_DATA'!A264="","",IF('04_DATA'!D264&lt;PERCENTILE('04_DATA'!$D$2:$D$1001,0.05),"FLAG","ok"))</f>
        <v/>
      </c>
      <c r="H267" s="55">
        <f>IF('04_DATA'!A264="","",IF(OR(C267="EXCLUDE",F267="EXCLUDE"),"Exclude under pre-specified rule",IF(E267&gt;0.15,"Exclude: &gt;15% missing",IF(G267="FLAG","Retain; test in robustness battery","Retain"))))</f>
        <v/>
      </c>
    </row>
    <row r="268">
      <c r="A268" s="55" t="n">
        <v>265</v>
      </c>
      <c r="B268" s="55">
        <f>IF('04_DATA'!A265="","",'04_DATA'!A265)</f>
        <v/>
      </c>
      <c r="C268" s="55">
        <f>IF('04_DATA'!A265="","",IF(AND('04_DATA'!G265=1,'04_DATA'!H265=1,'04_DATA'!I265&gt;=3),"eligible","EXCLUDE"))</f>
        <v/>
      </c>
      <c r="D268" s="55">
        <f>IF('04_DATA'!A265="","",37-COUNT('04_DATA'!$K265:$AU265))</f>
        <v/>
      </c>
      <c r="E268" s="63">
        <f>IF('04_DATA'!A265="","",(37-COUNT('04_DATA'!$K265:$AU265))/37)</f>
        <v/>
      </c>
      <c r="F268" s="55">
        <f>IF('04_DATA'!A265="","",IF(AND(COUNT('04_DATA'!$K265:$AU265)=37,COUNTIF('04_DATA'!$K265:$AU265,INDEX('04_DATA'!$K265:$AU265,1))=37),"EXCLUDE","ok"))</f>
        <v/>
      </c>
      <c r="G268" s="55">
        <f>IF('04_DATA'!A265="","",IF('04_DATA'!D265&lt;PERCENTILE('04_DATA'!$D$2:$D$1001,0.05),"FLAG","ok"))</f>
        <v/>
      </c>
      <c r="H268" s="55">
        <f>IF('04_DATA'!A265="","",IF(OR(C268="EXCLUDE",F268="EXCLUDE"),"Exclude under pre-specified rule",IF(E268&gt;0.15,"Exclude: &gt;15% missing",IF(G268="FLAG","Retain; test in robustness battery","Retain"))))</f>
        <v/>
      </c>
    </row>
    <row r="269">
      <c r="A269" s="55" t="n">
        <v>266</v>
      </c>
      <c r="B269" s="55">
        <f>IF('04_DATA'!A266="","",'04_DATA'!A266)</f>
        <v/>
      </c>
      <c r="C269" s="55">
        <f>IF('04_DATA'!A266="","",IF(AND('04_DATA'!G266=1,'04_DATA'!H266=1,'04_DATA'!I266&gt;=3),"eligible","EXCLUDE"))</f>
        <v/>
      </c>
      <c r="D269" s="55">
        <f>IF('04_DATA'!A266="","",37-COUNT('04_DATA'!$K266:$AU266))</f>
        <v/>
      </c>
      <c r="E269" s="63">
        <f>IF('04_DATA'!A266="","",(37-COUNT('04_DATA'!$K266:$AU266))/37)</f>
        <v/>
      </c>
      <c r="F269" s="55">
        <f>IF('04_DATA'!A266="","",IF(AND(COUNT('04_DATA'!$K266:$AU266)=37,COUNTIF('04_DATA'!$K266:$AU266,INDEX('04_DATA'!$K266:$AU266,1))=37),"EXCLUDE","ok"))</f>
        <v/>
      </c>
      <c r="G269" s="55">
        <f>IF('04_DATA'!A266="","",IF('04_DATA'!D266&lt;PERCENTILE('04_DATA'!$D$2:$D$1001,0.05),"FLAG","ok"))</f>
        <v/>
      </c>
      <c r="H269" s="55">
        <f>IF('04_DATA'!A266="","",IF(OR(C269="EXCLUDE",F269="EXCLUDE"),"Exclude under pre-specified rule",IF(E269&gt;0.15,"Exclude: &gt;15% missing",IF(G269="FLAG","Retain; test in robustness battery","Retain"))))</f>
        <v/>
      </c>
    </row>
    <row r="270">
      <c r="A270" s="55" t="n">
        <v>267</v>
      </c>
      <c r="B270" s="55">
        <f>IF('04_DATA'!A267="","",'04_DATA'!A267)</f>
        <v/>
      </c>
      <c r="C270" s="55">
        <f>IF('04_DATA'!A267="","",IF(AND('04_DATA'!G267=1,'04_DATA'!H267=1,'04_DATA'!I267&gt;=3),"eligible","EXCLUDE"))</f>
        <v/>
      </c>
      <c r="D270" s="55">
        <f>IF('04_DATA'!A267="","",37-COUNT('04_DATA'!$K267:$AU267))</f>
        <v/>
      </c>
      <c r="E270" s="63">
        <f>IF('04_DATA'!A267="","",(37-COUNT('04_DATA'!$K267:$AU267))/37)</f>
        <v/>
      </c>
      <c r="F270" s="55">
        <f>IF('04_DATA'!A267="","",IF(AND(COUNT('04_DATA'!$K267:$AU267)=37,COUNTIF('04_DATA'!$K267:$AU267,INDEX('04_DATA'!$K267:$AU267,1))=37),"EXCLUDE","ok"))</f>
        <v/>
      </c>
      <c r="G270" s="55">
        <f>IF('04_DATA'!A267="","",IF('04_DATA'!D267&lt;PERCENTILE('04_DATA'!$D$2:$D$1001,0.05),"FLAG","ok"))</f>
        <v/>
      </c>
      <c r="H270" s="55">
        <f>IF('04_DATA'!A267="","",IF(OR(C270="EXCLUDE",F270="EXCLUDE"),"Exclude under pre-specified rule",IF(E270&gt;0.15,"Exclude: &gt;15% missing",IF(G270="FLAG","Retain; test in robustness battery","Retain"))))</f>
        <v/>
      </c>
    </row>
    <row r="271">
      <c r="A271" s="55" t="n">
        <v>268</v>
      </c>
      <c r="B271" s="55">
        <f>IF('04_DATA'!A268="","",'04_DATA'!A268)</f>
        <v/>
      </c>
      <c r="C271" s="55">
        <f>IF('04_DATA'!A268="","",IF(AND('04_DATA'!G268=1,'04_DATA'!H268=1,'04_DATA'!I268&gt;=3),"eligible","EXCLUDE"))</f>
        <v/>
      </c>
      <c r="D271" s="55">
        <f>IF('04_DATA'!A268="","",37-COUNT('04_DATA'!$K268:$AU268))</f>
        <v/>
      </c>
      <c r="E271" s="63">
        <f>IF('04_DATA'!A268="","",(37-COUNT('04_DATA'!$K268:$AU268))/37)</f>
        <v/>
      </c>
      <c r="F271" s="55">
        <f>IF('04_DATA'!A268="","",IF(AND(COUNT('04_DATA'!$K268:$AU268)=37,COUNTIF('04_DATA'!$K268:$AU268,INDEX('04_DATA'!$K268:$AU268,1))=37),"EXCLUDE","ok"))</f>
        <v/>
      </c>
      <c r="G271" s="55">
        <f>IF('04_DATA'!A268="","",IF('04_DATA'!D268&lt;PERCENTILE('04_DATA'!$D$2:$D$1001,0.05),"FLAG","ok"))</f>
        <v/>
      </c>
      <c r="H271" s="55">
        <f>IF('04_DATA'!A268="","",IF(OR(C271="EXCLUDE",F271="EXCLUDE"),"Exclude under pre-specified rule",IF(E271&gt;0.15,"Exclude: &gt;15% missing",IF(G271="FLAG","Retain; test in robustness battery","Retain"))))</f>
        <v/>
      </c>
    </row>
    <row r="272">
      <c r="A272" s="55" t="n">
        <v>269</v>
      </c>
      <c r="B272" s="55">
        <f>IF('04_DATA'!A269="","",'04_DATA'!A269)</f>
        <v/>
      </c>
      <c r="C272" s="55">
        <f>IF('04_DATA'!A269="","",IF(AND('04_DATA'!G269=1,'04_DATA'!H269=1,'04_DATA'!I269&gt;=3),"eligible","EXCLUDE"))</f>
        <v/>
      </c>
      <c r="D272" s="55">
        <f>IF('04_DATA'!A269="","",37-COUNT('04_DATA'!$K269:$AU269))</f>
        <v/>
      </c>
      <c r="E272" s="63">
        <f>IF('04_DATA'!A269="","",(37-COUNT('04_DATA'!$K269:$AU269))/37)</f>
        <v/>
      </c>
      <c r="F272" s="55">
        <f>IF('04_DATA'!A269="","",IF(AND(COUNT('04_DATA'!$K269:$AU269)=37,COUNTIF('04_DATA'!$K269:$AU269,INDEX('04_DATA'!$K269:$AU269,1))=37),"EXCLUDE","ok"))</f>
        <v/>
      </c>
      <c r="G272" s="55">
        <f>IF('04_DATA'!A269="","",IF('04_DATA'!D269&lt;PERCENTILE('04_DATA'!$D$2:$D$1001,0.05),"FLAG","ok"))</f>
        <v/>
      </c>
      <c r="H272" s="55">
        <f>IF('04_DATA'!A269="","",IF(OR(C272="EXCLUDE",F272="EXCLUDE"),"Exclude under pre-specified rule",IF(E272&gt;0.15,"Exclude: &gt;15% missing",IF(G272="FLAG","Retain; test in robustness battery","Retain"))))</f>
        <v/>
      </c>
    </row>
    <row r="273">
      <c r="A273" s="55" t="n">
        <v>270</v>
      </c>
      <c r="B273" s="55">
        <f>IF('04_DATA'!A270="","",'04_DATA'!A270)</f>
        <v/>
      </c>
      <c r="C273" s="55">
        <f>IF('04_DATA'!A270="","",IF(AND('04_DATA'!G270=1,'04_DATA'!H270=1,'04_DATA'!I270&gt;=3),"eligible","EXCLUDE"))</f>
        <v/>
      </c>
      <c r="D273" s="55">
        <f>IF('04_DATA'!A270="","",37-COUNT('04_DATA'!$K270:$AU270))</f>
        <v/>
      </c>
      <c r="E273" s="63">
        <f>IF('04_DATA'!A270="","",(37-COUNT('04_DATA'!$K270:$AU270))/37)</f>
        <v/>
      </c>
      <c r="F273" s="55">
        <f>IF('04_DATA'!A270="","",IF(AND(COUNT('04_DATA'!$K270:$AU270)=37,COUNTIF('04_DATA'!$K270:$AU270,INDEX('04_DATA'!$K270:$AU270,1))=37),"EXCLUDE","ok"))</f>
        <v/>
      </c>
      <c r="G273" s="55">
        <f>IF('04_DATA'!A270="","",IF('04_DATA'!D270&lt;PERCENTILE('04_DATA'!$D$2:$D$1001,0.05),"FLAG","ok"))</f>
        <v/>
      </c>
      <c r="H273" s="55">
        <f>IF('04_DATA'!A270="","",IF(OR(C273="EXCLUDE",F273="EXCLUDE"),"Exclude under pre-specified rule",IF(E273&gt;0.15,"Exclude: &gt;15% missing",IF(G273="FLAG","Retain; test in robustness battery","Retain"))))</f>
        <v/>
      </c>
    </row>
    <row r="274">
      <c r="A274" s="55" t="n">
        <v>271</v>
      </c>
      <c r="B274" s="55">
        <f>IF('04_DATA'!A271="","",'04_DATA'!A271)</f>
        <v/>
      </c>
      <c r="C274" s="55">
        <f>IF('04_DATA'!A271="","",IF(AND('04_DATA'!G271=1,'04_DATA'!H271=1,'04_DATA'!I271&gt;=3),"eligible","EXCLUDE"))</f>
        <v/>
      </c>
      <c r="D274" s="55">
        <f>IF('04_DATA'!A271="","",37-COUNT('04_DATA'!$K271:$AU271))</f>
        <v/>
      </c>
      <c r="E274" s="63">
        <f>IF('04_DATA'!A271="","",(37-COUNT('04_DATA'!$K271:$AU271))/37)</f>
        <v/>
      </c>
      <c r="F274" s="55">
        <f>IF('04_DATA'!A271="","",IF(AND(COUNT('04_DATA'!$K271:$AU271)=37,COUNTIF('04_DATA'!$K271:$AU271,INDEX('04_DATA'!$K271:$AU271,1))=37),"EXCLUDE","ok"))</f>
        <v/>
      </c>
      <c r="G274" s="55">
        <f>IF('04_DATA'!A271="","",IF('04_DATA'!D271&lt;PERCENTILE('04_DATA'!$D$2:$D$1001,0.05),"FLAG","ok"))</f>
        <v/>
      </c>
      <c r="H274" s="55">
        <f>IF('04_DATA'!A271="","",IF(OR(C274="EXCLUDE",F274="EXCLUDE"),"Exclude under pre-specified rule",IF(E274&gt;0.15,"Exclude: &gt;15% missing",IF(G274="FLAG","Retain; test in robustness battery","Retain"))))</f>
        <v/>
      </c>
    </row>
    <row r="275">
      <c r="A275" s="55" t="n">
        <v>272</v>
      </c>
      <c r="B275" s="55">
        <f>IF('04_DATA'!A272="","",'04_DATA'!A272)</f>
        <v/>
      </c>
      <c r="C275" s="55">
        <f>IF('04_DATA'!A272="","",IF(AND('04_DATA'!G272=1,'04_DATA'!H272=1,'04_DATA'!I272&gt;=3),"eligible","EXCLUDE"))</f>
        <v/>
      </c>
      <c r="D275" s="55">
        <f>IF('04_DATA'!A272="","",37-COUNT('04_DATA'!$K272:$AU272))</f>
        <v/>
      </c>
      <c r="E275" s="63">
        <f>IF('04_DATA'!A272="","",(37-COUNT('04_DATA'!$K272:$AU272))/37)</f>
        <v/>
      </c>
      <c r="F275" s="55">
        <f>IF('04_DATA'!A272="","",IF(AND(COUNT('04_DATA'!$K272:$AU272)=37,COUNTIF('04_DATA'!$K272:$AU272,INDEX('04_DATA'!$K272:$AU272,1))=37),"EXCLUDE","ok"))</f>
        <v/>
      </c>
      <c r="G275" s="55">
        <f>IF('04_DATA'!A272="","",IF('04_DATA'!D272&lt;PERCENTILE('04_DATA'!$D$2:$D$1001,0.05),"FLAG","ok"))</f>
        <v/>
      </c>
      <c r="H275" s="55">
        <f>IF('04_DATA'!A272="","",IF(OR(C275="EXCLUDE",F275="EXCLUDE"),"Exclude under pre-specified rule",IF(E275&gt;0.15,"Exclude: &gt;15% missing",IF(G275="FLAG","Retain; test in robustness battery","Retain"))))</f>
        <v/>
      </c>
    </row>
    <row r="276">
      <c r="A276" s="55" t="n">
        <v>273</v>
      </c>
      <c r="B276" s="55">
        <f>IF('04_DATA'!A273="","",'04_DATA'!A273)</f>
        <v/>
      </c>
      <c r="C276" s="55">
        <f>IF('04_DATA'!A273="","",IF(AND('04_DATA'!G273=1,'04_DATA'!H273=1,'04_DATA'!I273&gt;=3),"eligible","EXCLUDE"))</f>
        <v/>
      </c>
      <c r="D276" s="55">
        <f>IF('04_DATA'!A273="","",37-COUNT('04_DATA'!$K273:$AU273))</f>
        <v/>
      </c>
      <c r="E276" s="63">
        <f>IF('04_DATA'!A273="","",(37-COUNT('04_DATA'!$K273:$AU273))/37)</f>
        <v/>
      </c>
      <c r="F276" s="55">
        <f>IF('04_DATA'!A273="","",IF(AND(COUNT('04_DATA'!$K273:$AU273)=37,COUNTIF('04_DATA'!$K273:$AU273,INDEX('04_DATA'!$K273:$AU273,1))=37),"EXCLUDE","ok"))</f>
        <v/>
      </c>
      <c r="G276" s="55">
        <f>IF('04_DATA'!A273="","",IF('04_DATA'!D273&lt;PERCENTILE('04_DATA'!$D$2:$D$1001,0.05),"FLAG","ok"))</f>
        <v/>
      </c>
      <c r="H276" s="55">
        <f>IF('04_DATA'!A273="","",IF(OR(C276="EXCLUDE",F276="EXCLUDE"),"Exclude under pre-specified rule",IF(E276&gt;0.15,"Exclude: &gt;15% missing",IF(G276="FLAG","Retain; test in robustness battery","Retain"))))</f>
        <v/>
      </c>
    </row>
    <row r="277">
      <c r="A277" s="55" t="n">
        <v>274</v>
      </c>
      <c r="B277" s="55">
        <f>IF('04_DATA'!A274="","",'04_DATA'!A274)</f>
        <v/>
      </c>
      <c r="C277" s="55">
        <f>IF('04_DATA'!A274="","",IF(AND('04_DATA'!G274=1,'04_DATA'!H274=1,'04_DATA'!I274&gt;=3),"eligible","EXCLUDE"))</f>
        <v/>
      </c>
      <c r="D277" s="55">
        <f>IF('04_DATA'!A274="","",37-COUNT('04_DATA'!$K274:$AU274))</f>
        <v/>
      </c>
      <c r="E277" s="63">
        <f>IF('04_DATA'!A274="","",(37-COUNT('04_DATA'!$K274:$AU274))/37)</f>
        <v/>
      </c>
      <c r="F277" s="55">
        <f>IF('04_DATA'!A274="","",IF(AND(COUNT('04_DATA'!$K274:$AU274)=37,COUNTIF('04_DATA'!$K274:$AU274,INDEX('04_DATA'!$K274:$AU274,1))=37),"EXCLUDE","ok"))</f>
        <v/>
      </c>
      <c r="G277" s="55">
        <f>IF('04_DATA'!A274="","",IF('04_DATA'!D274&lt;PERCENTILE('04_DATA'!$D$2:$D$1001,0.05),"FLAG","ok"))</f>
        <v/>
      </c>
      <c r="H277" s="55">
        <f>IF('04_DATA'!A274="","",IF(OR(C277="EXCLUDE",F277="EXCLUDE"),"Exclude under pre-specified rule",IF(E277&gt;0.15,"Exclude: &gt;15% missing",IF(G277="FLAG","Retain; test in robustness battery","Retain"))))</f>
        <v/>
      </c>
    </row>
    <row r="278">
      <c r="A278" s="55" t="n">
        <v>275</v>
      </c>
      <c r="B278" s="55">
        <f>IF('04_DATA'!A275="","",'04_DATA'!A275)</f>
        <v/>
      </c>
      <c r="C278" s="55">
        <f>IF('04_DATA'!A275="","",IF(AND('04_DATA'!G275=1,'04_DATA'!H275=1,'04_DATA'!I275&gt;=3),"eligible","EXCLUDE"))</f>
        <v/>
      </c>
      <c r="D278" s="55">
        <f>IF('04_DATA'!A275="","",37-COUNT('04_DATA'!$K275:$AU275))</f>
        <v/>
      </c>
      <c r="E278" s="63">
        <f>IF('04_DATA'!A275="","",(37-COUNT('04_DATA'!$K275:$AU275))/37)</f>
        <v/>
      </c>
      <c r="F278" s="55">
        <f>IF('04_DATA'!A275="","",IF(AND(COUNT('04_DATA'!$K275:$AU275)=37,COUNTIF('04_DATA'!$K275:$AU275,INDEX('04_DATA'!$K275:$AU275,1))=37),"EXCLUDE","ok"))</f>
        <v/>
      </c>
      <c r="G278" s="55">
        <f>IF('04_DATA'!A275="","",IF('04_DATA'!D275&lt;PERCENTILE('04_DATA'!$D$2:$D$1001,0.05),"FLAG","ok"))</f>
        <v/>
      </c>
      <c r="H278" s="55">
        <f>IF('04_DATA'!A275="","",IF(OR(C278="EXCLUDE",F278="EXCLUDE"),"Exclude under pre-specified rule",IF(E278&gt;0.15,"Exclude: &gt;15% missing",IF(G278="FLAG","Retain; test in robustness battery","Retain"))))</f>
        <v/>
      </c>
    </row>
    <row r="279">
      <c r="A279" s="55" t="n">
        <v>276</v>
      </c>
      <c r="B279" s="55">
        <f>IF('04_DATA'!A276="","",'04_DATA'!A276)</f>
        <v/>
      </c>
      <c r="C279" s="55">
        <f>IF('04_DATA'!A276="","",IF(AND('04_DATA'!G276=1,'04_DATA'!H276=1,'04_DATA'!I276&gt;=3),"eligible","EXCLUDE"))</f>
        <v/>
      </c>
      <c r="D279" s="55">
        <f>IF('04_DATA'!A276="","",37-COUNT('04_DATA'!$K276:$AU276))</f>
        <v/>
      </c>
      <c r="E279" s="63">
        <f>IF('04_DATA'!A276="","",(37-COUNT('04_DATA'!$K276:$AU276))/37)</f>
        <v/>
      </c>
      <c r="F279" s="55">
        <f>IF('04_DATA'!A276="","",IF(AND(COUNT('04_DATA'!$K276:$AU276)=37,COUNTIF('04_DATA'!$K276:$AU276,INDEX('04_DATA'!$K276:$AU276,1))=37),"EXCLUDE","ok"))</f>
        <v/>
      </c>
      <c r="G279" s="55">
        <f>IF('04_DATA'!A276="","",IF('04_DATA'!D276&lt;PERCENTILE('04_DATA'!$D$2:$D$1001,0.05),"FLAG","ok"))</f>
        <v/>
      </c>
      <c r="H279" s="55">
        <f>IF('04_DATA'!A276="","",IF(OR(C279="EXCLUDE",F279="EXCLUDE"),"Exclude under pre-specified rule",IF(E279&gt;0.15,"Exclude: &gt;15% missing",IF(G279="FLAG","Retain; test in robustness battery","Retain"))))</f>
        <v/>
      </c>
    </row>
    <row r="280">
      <c r="A280" s="55" t="n">
        <v>277</v>
      </c>
      <c r="B280" s="55">
        <f>IF('04_DATA'!A277="","",'04_DATA'!A277)</f>
        <v/>
      </c>
      <c r="C280" s="55">
        <f>IF('04_DATA'!A277="","",IF(AND('04_DATA'!G277=1,'04_DATA'!H277=1,'04_DATA'!I277&gt;=3),"eligible","EXCLUDE"))</f>
        <v/>
      </c>
      <c r="D280" s="55">
        <f>IF('04_DATA'!A277="","",37-COUNT('04_DATA'!$K277:$AU277))</f>
        <v/>
      </c>
      <c r="E280" s="63">
        <f>IF('04_DATA'!A277="","",(37-COUNT('04_DATA'!$K277:$AU277))/37)</f>
        <v/>
      </c>
      <c r="F280" s="55">
        <f>IF('04_DATA'!A277="","",IF(AND(COUNT('04_DATA'!$K277:$AU277)=37,COUNTIF('04_DATA'!$K277:$AU277,INDEX('04_DATA'!$K277:$AU277,1))=37),"EXCLUDE","ok"))</f>
        <v/>
      </c>
      <c r="G280" s="55">
        <f>IF('04_DATA'!A277="","",IF('04_DATA'!D277&lt;PERCENTILE('04_DATA'!$D$2:$D$1001,0.05),"FLAG","ok"))</f>
        <v/>
      </c>
      <c r="H280" s="55">
        <f>IF('04_DATA'!A277="","",IF(OR(C280="EXCLUDE",F280="EXCLUDE"),"Exclude under pre-specified rule",IF(E280&gt;0.15,"Exclude: &gt;15% missing",IF(G280="FLAG","Retain; test in robustness battery","Retain"))))</f>
        <v/>
      </c>
    </row>
    <row r="281">
      <c r="A281" s="55" t="n">
        <v>278</v>
      </c>
      <c r="B281" s="55">
        <f>IF('04_DATA'!A278="","",'04_DATA'!A278)</f>
        <v/>
      </c>
      <c r="C281" s="55">
        <f>IF('04_DATA'!A278="","",IF(AND('04_DATA'!G278=1,'04_DATA'!H278=1,'04_DATA'!I278&gt;=3),"eligible","EXCLUDE"))</f>
        <v/>
      </c>
      <c r="D281" s="55">
        <f>IF('04_DATA'!A278="","",37-COUNT('04_DATA'!$K278:$AU278))</f>
        <v/>
      </c>
      <c r="E281" s="63">
        <f>IF('04_DATA'!A278="","",(37-COUNT('04_DATA'!$K278:$AU278))/37)</f>
        <v/>
      </c>
      <c r="F281" s="55">
        <f>IF('04_DATA'!A278="","",IF(AND(COUNT('04_DATA'!$K278:$AU278)=37,COUNTIF('04_DATA'!$K278:$AU278,INDEX('04_DATA'!$K278:$AU278,1))=37),"EXCLUDE","ok"))</f>
        <v/>
      </c>
      <c r="G281" s="55">
        <f>IF('04_DATA'!A278="","",IF('04_DATA'!D278&lt;PERCENTILE('04_DATA'!$D$2:$D$1001,0.05),"FLAG","ok"))</f>
        <v/>
      </c>
      <c r="H281" s="55">
        <f>IF('04_DATA'!A278="","",IF(OR(C281="EXCLUDE",F281="EXCLUDE"),"Exclude under pre-specified rule",IF(E281&gt;0.15,"Exclude: &gt;15% missing",IF(G281="FLAG","Retain; test in robustness battery","Retain"))))</f>
        <v/>
      </c>
    </row>
    <row r="282">
      <c r="A282" s="55" t="n">
        <v>279</v>
      </c>
      <c r="B282" s="55">
        <f>IF('04_DATA'!A279="","",'04_DATA'!A279)</f>
        <v/>
      </c>
      <c r="C282" s="55">
        <f>IF('04_DATA'!A279="","",IF(AND('04_DATA'!G279=1,'04_DATA'!H279=1,'04_DATA'!I279&gt;=3),"eligible","EXCLUDE"))</f>
        <v/>
      </c>
      <c r="D282" s="55">
        <f>IF('04_DATA'!A279="","",37-COUNT('04_DATA'!$K279:$AU279))</f>
        <v/>
      </c>
      <c r="E282" s="63">
        <f>IF('04_DATA'!A279="","",(37-COUNT('04_DATA'!$K279:$AU279))/37)</f>
        <v/>
      </c>
      <c r="F282" s="55">
        <f>IF('04_DATA'!A279="","",IF(AND(COUNT('04_DATA'!$K279:$AU279)=37,COUNTIF('04_DATA'!$K279:$AU279,INDEX('04_DATA'!$K279:$AU279,1))=37),"EXCLUDE","ok"))</f>
        <v/>
      </c>
      <c r="G282" s="55">
        <f>IF('04_DATA'!A279="","",IF('04_DATA'!D279&lt;PERCENTILE('04_DATA'!$D$2:$D$1001,0.05),"FLAG","ok"))</f>
        <v/>
      </c>
      <c r="H282" s="55">
        <f>IF('04_DATA'!A279="","",IF(OR(C282="EXCLUDE",F282="EXCLUDE"),"Exclude under pre-specified rule",IF(E282&gt;0.15,"Exclude: &gt;15% missing",IF(G282="FLAG","Retain; test in robustness battery","Retain"))))</f>
        <v/>
      </c>
    </row>
    <row r="283">
      <c r="A283" s="55" t="n">
        <v>280</v>
      </c>
      <c r="B283" s="55">
        <f>IF('04_DATA'!A280="","",'04_DATA'!A280)</f>
        <v/>
      </c>
      <c r="C283" s="55">
        <f>IF('04_DATA'!A280="","",IF(AND('04_DATA'!G280=1,'04_DATA'!H280=1,'04_DATA'!I280&gt;=3),"eligible","EXCLUDE"))</f>
        <v/>
      </c>
      <c r="D283" s="55">
        <f>IF('04_DATA'!A280="","",37-COUNT('04_DATA'!$K280:$AU280))</f>
        <v/>
      </c>
      <c r="E283" s="63">
        <f>IF('04_DATA'!A280="","",(37-COUNT('04_DATA'!$K280:$AU280))/37)</f>
        <v/>
      </c>
      <c r="F283" s="55">
        <f>IF('04_DATA'!A280="","",IF(AND(COUNT('04_DATA'!$K280:$AU280)=37,COUNTIF('04_DATA'!$K280:$AU280,INDEX('04_DATA'!$K280:$AU280,1))=37),"EXCLUDE","ok"))</f>
        <v/>
      </c>
      <c r="G283" s="55">
        <f>IF('04_DATA'!A280="","",IF('04_DATA'!D280&lt;PERCENTILE('04_DATA'!$D$2:$D$1001,0.05),"FLAG","ok"))</f>
        <v/>
      </c>
      <c r="H283" s="55">
        <f>IF('04_DATA'!A280="","",IF(OR(C283="EXCLUDE",F283="EXCLUDE"),"Exclude under pre-specified rule",IF(E283&gt;0.15,"Exclude: &gt;15% missing",IF(G283="FLAG","Retain; test in robustness battery","Retain"))))</f>
        <v/>
      </c>
    </row>
    <row r="284">
      <c r="A284" s="55" t="n">
        <v>281</v>
      </c>
      <c r="B284" s="55">
        <f>IF('04_DATA'!A281="","",'04_DATA'!A281)</f>
        <v/>
      </c>
      <c r="C284" s="55">
        <f>IF('04_DATA'!A281="","",IF(AND('04_DATA'!G281=1,'04_DATA'!H281=1,'04_DATA'!I281&gt;=3),"eligible","EXCLUDE"))</f>
        <v/>
      </c>
      <c r="D284" s="55">
        <f>IF('04_DATA'!A281="","",37-COUNT('04_DATA'!$K281:$AU281))</f>
        <v/>
      </c>
      <c r="E284" s="63">
        <f>IF('04_DATA'!A281="","",(37-COUNT('04_DATA'!$K281:$AU281))/37)</f>
        <v/>
      </c>
      <c r="F284" s="55">
        <f>IF('04_DATA'!A281="","",IF(AND(COUNT('04_DATA'!$K281:$AU281)=37,COUNTIF('04_DATA'!$K281:$AU281,INDEX('04_DATA'!$K281:$AU281,1))=37),"EXCLUDE","ok"))</f>
        <v/>
      </c>
      <c r="G284" s="55">
        <f>IF('04_DATA'!A281="","",IF('04_DATA'!D281&lt;PERCENTILE('04_DATA'!$D$2:$D$1001,0.05),"FLAG","ok"))</f>
        <v/>
      </c>
      <c r="H284" s="55">
        <f>IF('04_DATA'!A281="","",IF(OR(C284="EXCLUDE",F284="EXCLUDE"),"Exclude under pre-specified rule",IF(E284&gt;0.15,"Exclude: &gt;15% missing",IF(G284="FLAG","Retain; test in robustness battery","Retain"))))</f>
        <v/>
      </c>
    </row>
    <row r="285">
      <c r="A285" s="55" t="n">
        <v>282</v>
      </c>
      <c r="B285" s="55">
        <f>IF('04_DATA'!A282="","",'04_DATA'!A282)</f>
        <v/>
      </c>
      <c r="C285" s="55">
        <f>IF('04_DATA'!A282="","",IF(AND('04_DATA'!G282=1,'04_DATA'!H282=1,'04_DATA'!I282&gt;=3),"eligible","EXCLUDE"))</f>
        <v/>
      </c>
      <c r="D285" s="55">
        <f>IF('04_DATA'!A282="","",37-COUNT('04_DATA'!$K282:$AU282))</f>
        <v/>
      </c>
      <c r="E285" s="63">
        <f>IF('04_DATA'!A282="","",(37-COUNT('04_DATA'!$K282:$AU282))/37)</f>
        <v/>
      </c>
      <c r="F285" s="55">
        <f>IF('04_DATA'!A282="","",IF(AND(COUNT('04_DATA'!$K282:$AU282)=37,COUNTIF('04_DATA'!$K282:$AU282,INDEX('04_DATA'!$K282:$AU282,1))=37),"EXCLUDE","ok"))</f>
        <v/>
      </c>
      <c r="G285" s="55">
        <f>IF('04_DATA'!A282="","",IF('04_DATA'!D282&lt;PERCENTILE('04_DATA'!$D$2:$D$1001,0.05),"FLAG","ok"))</f>
        <v/>
      </c>
      <c r="H285" s="55">
        <f>IF('04_DATA'!A282="","",IF(OR(C285="EXCLUDE",F285="EXCLUDE"),"Exclude under pre-specified rule",IF(E285&gt;0.15,"Exclude: &gt;15% missing",IF(G285="FLAG","Retain; test in robustness battery","Retain"))))</f>
        <v/>
      </c>
    </row>
    <row r="286">
      <c r="A286" s="55" t="n">
        <v>283</v>
      </c>
      <c r="B286" s="55">
        <f>IF('04_DATA'!A283="","",'04_DATA'!A283)</f>
        <v/>
      </c>
      <c r="C286" s="55">
        <f>IF('04_DATA'!A283="","",IF(AND('04_DATA'!G283=1,'04_DATA'!H283=1,'04_DATA'!I283&gt;=3),"eligible","EXCLUDE"))</f>
        <v/>
      </c>
      <c r="D286" s="55">
        <f>IF('04_DATA'!A283="","",37-COUNT('04_DATA'!$K283:$AU283))</f>
        <v/>
      </c>
      <c r="E286" s="63">
        <f>IF('04_DATA'!A283="","",(37-COUNT('04_DATA'!$K283:$AU283))/37)</f>
        <v/>
      </c>
      <c r="F286" s="55">
        <f>IF('04_DATA'!A283="","",IF(AND(COUNT('04_DATA'!$K283:$AU283)=37,COUNTIF('04_DATA'!$K283:$AU283,INDEX('04_DATA'!$K283:$AU283,1))=37),"EXCLUDE","ok"))</f>
        <v/>
      </c>
      <c r="G286" s="55">
        <f>IF('04_DATA'!A283="","",IF('04_DATA'!D283&lt;PERCENTILE('04_DATA'!$D$2:$D$1001,0.05),"FLAG","ok"))</f>
        <v/>
      </c>
      <c r="H286" s="55">
        <f>IF('04_DATA'!A283="","",IF(OR(C286="EXCLUDE",F286="EXCLUDE"),"Exclude under pre-specified rule",IF(E286&gt;0.15,"Exclude: &gt;15% missing",IF(G286="FLAG","Retain; test in robustness battery","Retain"))))</f>
        <v/>
      </c>
    </row>
    <row r="287">
      <c r="A287" s="55" t="n">
        <v>284</v>
      </c>
      <c r="B287" s="55">
        <f>IF('04_DATA'!A284="","",'04_DATA'!A284)</f>
        <v/>
      </c>
      <c r="C287" s="55">
        <f>IF('04_DATA'!A284="","",IF(AND('04_DATA'!G284=1,'04_DATA'!H284=1,'04_DATA'!I284&gt;=3),"eligible","EXCLUDE"))</f>
        <v/>
      </c>
      <c r="D287" s="55">
        <f>IF('04_DATA'!A284="","",37-COUNT('04_DATA'!$K284:$AU284))</f>
        <v/>
      </c>
      <c r="E287" s="63">
        <f>IF('04_DATA'!A284="","",(37-COUNT('04_DATA'!$K284:$AU284))/37)</f>
        <v/>
      </c>
      <c r="F287" s="55">
        <f>IF('04_DATA'!A284="","",IF(AND(COUNT('04_DATA'!$K284:$AU284)=37,COUNTIF('04_DATA'!$K284:$AU284,INDEX('04_DATA'!$K284:$AU284,1))=37),"EXCLUDE","ok"))</f>
        <v/>
      </c>
      <c r="G287" s="55">
        <f>IF('04_DATA'!A284="","",IF('04_DATA'!D284&lt;PERCENTILE('04_DATA'!$D$2:$D$1001,0.05),"FLAG","ok"))</f>
        <v/>
      </c>
      <c r="H287" s="55">
        <f>IF('04_DATA'!A284="","",IF(OR(C287="EXCLUDE",F287="EXCLUDE"),"Exclude under pre-specified rule",IF(E287&gt;0.15,"Exclude: &gt;15% missing",IF(G287="FLAG","Retain; test in robustness battery","Retain"))))</f>
        <v/>
      </c>
    </row>
    <row r="288">
      <c r="A288" s="55" t="n">
        <v>285</v>
      </c>
      <c r="B288" s="55">
        <f>IF('04_DATA'!A285="","",'04_DATA'!A285)</f>
        <v/>
      </c>
      <c r="C288" s="55">
        <f>IF('04_DATA'!A285="","",IF(AND('04_DATA'!G285=1,'04_DATA'!H285=1,'04_DATA'!I285&gt;=3),"eligible","EXCLUDE"))</f>
        <v/>
      </c>
      <c r="D288" s="55">
        <f>IF('04_DATA'!A285="","",37-COUNT('04_DATA'!$K285:$AU285))</f>
        <v/>
      </c>
      <c r="E288" s="63">
        <f>IF('04_DATA'!A285="","",(37-COUNT('04_DATA'!$K285:$AU285))/37)</f>
        <v/>
      </c>
      <c r="F288" s="55">
        <f>IF('04_DATA'!A285="","",IF(AND(COUNT('04_DATA'!$K285:$AU285)=37,COUNTIF('04_DATA'!$K285:$AU285,INDEX('04_DATA'!$K285:$AU285,1))=37),"EXCLUDE","ok"))</f>
        <v/>
      </c>
      <c r="G288" s="55">
        <f>IF('04_DATA'!A285="","",IF('04_DATA'!D285&lt;PERCENTILE('04_DATA'!$D$2:$D$1001,0.05),"FLAG","ok"))</f>
        <v/>
      </c>
      <c r="H288" s="55">
        <f>IF('04_DATA'!A285="","",IF(OR(C288="EXCLUDE",F288="EXCLUDE"),"Exclude under pre-specified rule",IF(E288&gt;0.15,"Exclude: &gt;15% missing",IF(G288="FLAG","Retain; test in robustness battery","Retain"))))</f>
        <v/>
      </c>
    </row>
    <row r="289">
      <c r="A289" s="55" t="n">
        <v>286</v>
      </c>
      <c r="B289" s="55">
        <f>IF('04_DATA'!A286="","",'04_DATA'!A286)</f>
        <v/>
      </c>
      <c r="C289" s="55">
        <f>IF('04_DATA'!A286="","",IF(AND('04_DATA'!G286=1,'04_DATA'!H286=1,'04_DATA'!I286&gt;=3),"eligible","EXCLUDE"))</f>
        <v/>
      </c>
      <c r="D289" s="55">
        <f>IF('04_DATA'!A286="","",37-COUNT('04_DATA'!$K286:$AU286))</f>
        <v/>
      </c>
      <c r="E289" s="63">
        <f>IF('04_DATA'!A286="","",(37-COUNT('04_DATA'!$K286:$AU286))/37)</f>
        <v/>
      </c>
      <c r="F289" s="55">
        <f>IF('04_DATA'!A286="","",IF(AND(COUNT('04_DATA'!$K286:$AU286)=37,COUNTIF('04_DATA'!$K286:$AU286,INDEX('04_DATA'!$K286:$AU286,1))=37),"EXCLUDE","ok"))</f>
        <v/>
      </c>
      <c r="G289" s="55">
        <f>IF('04_DATA'!A286="","",IF('04_DATA'!D286&lt;PERCENTILE('04_DATA'!$D$2:$D$1001,0.05),"FLAG","ok"))</f>
        <v/>
      </c>
      <c r="H289" s="55">
        <f>IF('04_DATA'!A286="","",IF(OR(C289="EXCLUDE",F289="EXCLUDE"),"Exclude under pre-specified rule",IF(E289&gt;0.15,"Exclude: &gt;15% missing",IF(G289="FLAG","Retain; test in robustness battery","Retain"))))</f>
        <v/>
      </c>
    </row>
    <row r="290">
      <c r="A290" s="55" t="n">
        <v>287</v>
      </c>
      <c r="B290" s="55">
        <f>IF('04_DATA'!A287="","",'04_DATA'!A287)</f>
        <v/>
      </c>
      <c r="C290" s="55">
        <f>IF('04_DATA'!A287="","",IF(AND('04_DATA'!G287=1,'04_DATA'!H287=1,'04_DATA'!I287&gt;=3),"eligible","EXCLUDE"))</f>
        <v/>
      </c>
      <c r="D290" s="55">
        <f>IF('04_DATA'!A287="","",37-COUNT('04_DATA'!$K287:$AU287))</f>
        <v/>
      </c>
      <c r="E290" s="63">
        <f>IF('04_DATA'!A287="","",(37-COUNT('04_DATA'!$K287:$AU287))/37)</f>
        <v/>
      </c>
      <c r="F290" s="55">
        <f>IF('04_DATA'!A287="","",IF(AND(COUNT('04_DATA'!$K287:$AU287)=37,COUNTIF('04_DATA'!$K287:$AU287,INDEX('04_DATA'!$K287:$AU287,1))=37),"EXCLUDE","ok"))</f>
        <v/>
      </c>
      <c r="G290" s="55">
        <f>IF('04_DATA'!A287="","",IF('04_DATA'!D287&lt;PERCENTILE('04_DATA'!$D$2:$D$1001,0.05),"FLAG","ok"))</f>
        <v/>
      </c>
      <c r="H290" s="55">
        <f>IF('04_DATA'!A287="","",IF(OR(C290="EXCLUDE",F290="EXCLUDE"),"Exclude under pre-specified rule",IF(E290&gt;0.15,"Exclude: &gt;15% missing",IF(G290="FLAG","Retain; test in robustness battery","Retain"))))</f>
        <v/>
      </c>
    </row>
    <row r="291">
      <c r="A291" s="55" t="n">
        <v>288</v>
      </c>
      <c r="B291" s="55">
        <f>IF('04_DATA'!A288="","",'04_DATA'!A288)</f>
        <v/>
      </c>
      <c r="C291" s="55">
        <f>IF('04_DATA'!A288="","",IF(AND('04_DATA'!G288=1,'04_DATA'!H288=1,'04_DATA'!I288&gt;=3),"eligible","EXCLUDE"))</f>
        <v/>
      </c>
      <c r="D291" s="55">
        <f>IF('04_DATA'!A288="","",37-COUNT('04_DATA'!$K288:$AU288))</f>
        <v/>
      </c>
      <c r="E291" s="63">
        <f>IF('04_DATA'!A288="","",(37-COUNT('04_DATA'!$K288:$AU288))/37)</f>
        <v/>
      </c>
      <c r="F291" s="55">
        <f>IF('04_DATA'!A288="","",IF(AND(COUNT('04_DATA'!$K288:$AU288)=37,COUNTIF('04_DATA'!$K288:$AU288,INDEX('04_DATA'!$K288:$AU288,1))=37),"EXCLUDE","ok"))</f>
        <v/>
      </c>
      <c r="G291" s="55">
        <f>IF('04_DATA'!A288="","",IF('04_DATA'!D288&lt;PERCENTILE('04_DATA'!$D$2:$D$1001,0.05),"FLAG","ok"))</f>
        <v/>
      </c>
      <c r="H291" s="55">
        <f>IF('04_DATA'!A288="","",IF(OR(C291="EXCLUDE",F291="EXCLUDE"),"Exclude under pre-specified rule",IF(E291&gt;0.15,"Exclude: &gt;15% missing",IF(G291="FLAG","Retain; test in robustness battery","Retain"))))</f>
        <v/>
      </c>
    </row>
    <row r="292">
      <c r="A292" s="55" t="n">
        <v>289</v>
      </c>
      <c r="B292" s="55">
        <f>IF('04_DATA'!A289="","",'04_DATA'!A289)</f>
        <v/>
      </c>
      <c r="C292" s="55">
        <f>IF('04_DATA'!A289="","",IF(AND('04_DATA'!G289=1,'04_DATA'!H289=1,'04_DATA'!I289&gt;=3),"eligible","EXCLUDE"))</f>
        <v/>
      </c>
      <c r="D292" s="55">
        <f>IF('04_DATA'!A289="","",37-COUNT('04_DATA'!$K289:$AU289))</f>
        <v/>
      </c>
      <c r="E292" s="63">
        <f>IF('04_DATA'!A289="","",(37-COUNT('04_DATA'!$K289:$AU289))/37)</f>
        <v/>
      </c>
      <c r="F292" s="55">
        <f>IF('04_DATA'!A289="","",IF(AND(COUNT('04_DATA'!$K289:$AU289)=37,COUNTIF('04_DATA'!$K289:$AU289,INDEX('04_DATA'!$K289:$AU289,1))=37),"EXCLUDE","ok"))</f>
        <v/>
      </c>
      <c r="G292" s="55">
        <f>IF('04_DATA'!A289="","",IF('04_DATA'!D289&lt;PERCENTILE('04_DATA'!$D$2:$D$1001,0.05),"FLAG","ok"))</f>
        <v/>
      </c>
      <c r="H292" s="55">
        <f>IF('04_DATA'!A289="","",IF(OR(C292="EXCLUDE",F292="EXCLUDE"),"Exclude under pre-specified rule",IF(E292&gt;0.15,"Exclude: &gt;15% missing",IF(G292="FLAG","Retain; test in robustness battery","Retain"))))</f>
        <v/>
      </c>
    </row>
    <row r="293">
      <c r="A293" s="55" t="n">
        <v>290</v>
      </c>
      <c r="B293" s="55">
        <f>IF('04_DATA'!A290="","",'04_DATA'!A290)</f>
        <v/>
      </c>
      <c r="C293" s="55">
        <f>IF('04_DATA'!A290="","",IF(AND('04_DATA'!G290=1,'04_DATA'!H290=1,'04_DATA'!I290&gt;=3),"eligible","EXCLUDE"))</f>
        <v/>
      </c>
      <c r="D293" s="55">
        <f>IF('04_DATA'!A290="","",37-COUNT('04_DATA'!$K290:$AU290))</f>
        <v/>
      </c>
      <c r="E293" s="63">
        <f>IF('04_DATA'!A290="","",(37-COUNT('04_DATA'!$K290:$AU290))/37)</f>
        <v/>
      </c>
      <c r="F293" s="55">
        <f>IF('04_DATA'!A290="","",IF(AND(COUNT('04_DATA'!$K290:$AU290)=37,COUNTIF('04_DATA'!$K290:$AU290,INDEX('04_DATA'!$K290:$AU290,1))=37),"EXCLUDE","ok"))</f>
        <v/>
      </c>
      <c r="G293" s="55">
        <f>IF('04_DATA'!A290="","",IF('04_DATA'!D290&lt;PERCENTILE('04_DATA'!$D$2:$D$1001,0.05),"FLAG","ok"))</f>
        <v/>
      </c>
      <c r="H293" s="55">
        <f>IF('04_DATA'!A290="","",IF(OR(C293="EXCLUDE",F293="EXCLUDE"),"Exclude under pre-specified rule",IF(E293&gt;0.15,"Exclude: &gt;15% missing",IF(G293="FLAG","Retain; test in robustness battery","Retain"))))</f>
        <v/>
      </c>
    </row>
    <row r="294">
      <c r="A294" s="55" t="n">
        <v>291</v>
      </c>
      <c r="B294" s="55">
        <f>IF('04_DATA'!A291="","",'04_DATA'!A291)</f>
        <v/>
      </c>
      <c r="C294" s="55">
        <f>IF('04_DATA'!A291="","",IF(AND('04_DATA'!G291=1,'04_DATA'!H291=1,'04_DATA'!I291&gt;=3),"eligible","EXCLUDE"))</f>
        <v/>
      </c>
      <c r="D294" s="55">
        <f>IF('04_DATA'!A291="","",37-COUNT('04_DATA'!$K291:$AU291))</f>
        <v/>
      </c>
      <c r="E294" s="63">
        <f>IF('04_DATA'!A291="","",(37-COUNT('04_DATA'!$K291:$AU291))/37)</f>
        <v/>
      </c>
      <c r="F294" s="55">
        <f>IF('04_DATA'!A291="","",IF(AND(COUNT('04_DATA'!$K291:$AU291)=37,COUNTIF('04_DATA'!$K291:$AU291,INDEX('04_DATA'!$K291:$AU291,1))=37),"EXCLUDE","ok"))</f>
        <v/>
      </c>
      <c r="G294" s="55">
        <f>IF('04_DATA'!A291="","",IF('04_DATA'!D291&lt;PERCENTILE('04_DATA'!$D$2:$D$1001,0.05),"FLAG","ok"))</f>
        <v/>
      </c>
      <c r="H294" s="55">
        <f>IF('04_DATA'!A291="","",IF(OR(C294="EXCLUDE",F294="EXCLUDE"),"Exclude under pre-specified rule",IF(E294&gt;0.15,"Exclude: &gt;15% missing",IF(G294="FLAG","Retain; test in robustness battery","Retain"))))</f>
        <v/>
      </c>
    </row>
    <row r="295">
      <c r="A295" s="55" t="n">
        <v>292</v>
      </c>
      <c r="B295" s="55">
        <f>IF('04_DATA'!A292="","",'04_DATA'!A292)</f>
        <v/>
      </c>
      <c r="C295" s="55">
        <f>IF('04_DATA'!A292="","",IF(AND('04_DATA'!G292=1,'04_DATA'!H292=1,'04_DATA'!I292&gt;=3),"eligible","EXCLUDE"))</f>
        <v/>
      </c>
      <c r="D295" s="55">
        <f>IF('04_DATA'!A292="","",37-COUNT('04_DATA'!$K292:$AU292))</f>
        <v/>
      </c>
      <c r="E295" s="63">
        <f>IF('04_DATA'!A292="","",(37-COUNT('04_DATA'!$K292:$AU292))/37)</f>
        <v/>
      </c>
      <c r="F295" s="55">
        <f>IF('04_DATA'!A292="","",IF(AND(COUNT('04_DATA'!$K292:$AU292)=37,COUNTIF('04_DATA'!$K292:$AU292,INDEX('04_DATA'!$K292:$AU292,1))=37),"EXCLUDE","ok"))</f>
        <v/>
      </c>
      <c r="G295" s="55">
        <f>IF('04_DATA'!A292="","",IF('04_DATA'!D292&lt;PERCENTILE('04_DATA'!$D$2:$D$1001,0.05),"FLAG","ok"))</f>
        <v/>
      </c>
      <c r="H295" s="55">
        <f>IF('04_DATA'!A292="","",IF(OR(C295="EXCLUDE",F295="EXCLUDE"),"Exclude under pre-specified rule",IF(E295&gt;0.15,"Exclude: &gt;15% missing",IF(G295="FLAG","Retain; test in robustness battery","Retain"))))</f>
        <v/>
      </c>
    </row>
    <row r="296">
      <c r="A296" s="55" t="n">
        <v>293</v>
      </c>
      <c r="B296" s="55">
        <f>IF('04_DATA'!A293="","",'04_DATA'!A293)</f>
        <v/>
      </c>
      <c r="C296" s="55">
        <f>IF('04_DATA'!A293="","",IF(AND('04_DATA'!G293=1,'04_DATA'!H293=1,'04_DATA'!I293&gt;=3),"eligible","EXCLUDE"))</f>
        <v/>
      </c>
      <c r="D296" s="55">
        <f>IF('04_DATA'!A293="","",37-COUNT('04_DATA'!$K293:$AU293))</f>
        <v/>
      </c>
      <c r="E296" s="63">
        <f>IF('04_DATA'!A293="","",(37-COUNT('04_DATA'!$K293:$AU293))/37)</f>
        <v/>
      </c>
      <c r="F296" s="55">
        <f>IF('04_DATA'!A293="","",IF(AND(COUNT('04_DATA'!$K293:$AU293)=37,COUNTIF('04_DATA'!$K293:$AU293,INDEX('04_DATA'!$K293:$AU293,1))=37),"EXCLUDE","ok"))</f>
        <v/>
      </c>
      <c r="G296" s="55">
        <f>IF('04_DATA'!A293="","",IF('04_DATA'!D293&lt;PERCENTILE('04_DATA'!$D$2:$D$1001,0.05),"FLAG","ok"))</f>
        <v/>
      </c>
      <c r="H296" s="55">
        <f>IF('04_DATA'!A293="","",IF(OR(C296="EXCLUDE",F296="EXCLUDE"),"Exclude under pre-specified rule",IF(E296&gt;0.15,"Exclude: &gt;15% missing",IF(G296="FLAG","Retain; test in robustness battery","Retain"))))</f>
        <v/>
      </c>
    </row>
    <row r="297">
      <c r="A297" s="55" t="n">
        <v>294</v>
      </c>
      <c r="B297" s="55">
        <f>IF('04_DATA'!A294="","",'04_DATA'!A294)</f>
        <v/>
      </c>
      <c r="C297" s="55">
        <f>IF('04_DATA'!A294="","",IF(AND('04_DATA'!G294=1,'04_DATA'!H294=1,'04_DATA'!I294&gt;=3),"eligible","EXCLUDE"))</f>
        <v/>
      </c>
      <c r="D297" s="55">
        <f>IF('04_DATA'!A294="","",37-COUNT('04_DATA'!$K294:$AU294))</f>
        <v/>
      </c>
      <c r="E297" s="63">
        <f>IF('04_DATA'!A294="","",(37-COUNT('04_DATA'!$K294:$AU294))/37)</f>
        <v/>
      </c>
      <c r="F297" s="55">
        <f>IF('04_DATA'!A294="","",IF(AND(COUNT('04_DATA'!$K294:$AU294)=37,COUNTIF('04_DATA'!$K294:$AU294,INDEX('04_DATA'!$K294:$AU294,1))=37),"EXCLUDE","ok"))</f>
        <v/>
      </c>
      <c r="G297" s="55">
        <f>IF('04_DATA'!A294="","",IF('04_DATA'!D294&lt;PERCENTILE('04_DATA'!$D$2:$D$1001,0.05),"FLAG","ok"))</f>
        <v/>
      </c>
      <c r="H297" s="55">
        <f>IF('04_DATA'!A294="","",IF(OR(C297="EXCLUDE",F297="EXCLUDE"),"Exclude under pre-specified rule",IF(E297&gt;0.15,"Exclude: &gt;15% missing",IF(G297="FLAG","Retain; test in robustness battery","Retain"))))</f>
        <v/>
      </c>
    </row>
    <row r="298">
      <c r="A298" s="55" t="n">
        <v>295</v>
      </c>
      <c r="B298" s="55">
        <f>IF('04_DATA'!A295="","",'04_DATA'!A295)</f>
        <v/>
      </c>
      <c r="C298" s="55">
        <f>IF('04_DATA'!A295="","",IF(AND('04_DATA'!G295=1,'04_DATA'!H295=1,'04_DATA'!I295&gt;=3),"eligible","EXCLUDE"))</f>
        <v/>
      </c>
      <c r="D298" s="55">
        <f>IF('04_DATA'!A295="","",37-COUNT('04_DATA'!$K295:$AU295))</f>
        <v/>
      </c>
      <c r="E298" s="63">
        <f>IF('04_DATA'!A295="","",(37-COUNT('04_DATA'!$K295:$AU295))/37)</f>
        <v/>
      </c>
      <c r="F298" s="55">
        <f>IF('04_DATA'!A295="","",IF(AND(COUNT('04_DATA'!$K295:$AU295)=37,COUNTIF('04_DATA'!$K295:$AU295,INDEX('04_DATA'!$K295:$AU295,1))=37),"EXCLUDE","ok"))</f>
        <v/>
      </c>
      <c r="G298" s="55">
        <f>IF('04_DATA'!A295="","",IF('04_DATA'!D295&lt;PERCENTILE('04_DATA'!$D$2:$D$1001,0.05),"FLAG","ok"))</f>
        <v/>
      </c>
      <c r="H298" s="55">
        <f>IF('04_DATA'!A295="","",IF(OR(C298="EXCLUDE",F298="EXCLUDE"),"Exclude under pre-specified rule",IF(E298&gt;0.15,"Exclude: &gt;15% missing",IF(G298="FLAG","Retain; test in robustness battery","Retain"))))</f>
        <v/>
      </c>
    </row>
    <row r="299">
      <c r="A299" s="55" t="n">
        <v>296</v>
      </c>
      <c r="B299" s="55">
        <f>IF('04_DATA'!A296="","",'04_DATA'!A296)</f>
        <v/>
      </c>
      <c r="C299" s="55">
        <f>IF('04_DATA'!A296="","",IF(AND('04_DATA'!G296=1,'04_DATA'!H296=1,'04_DATA'!I296&gt;=3),"eligible","EXCLUDE"))</f>
        <v/>
      </c>
      <c r="D299" s="55">
        <f>IF('04_DATA'!A296="","",37-COUNT('04_DATA'!$K296:$AU296))</f>
        <v/>
      </c>
      <c r="E299" s="63">
        <f>IF('04_DATA'!A296="","",(37-COUNT('04_DATA'!$K296:$AU296))/37)</f>
        <v/>
      </c>
      <c r="F299" s="55">
        <f>IF('04_DATA'!A296="","",IF(AND(COUNT('04_DATA'!$K296:$AU296)=37,COUNTIF('04_DATA'!$K296:$AU296,INDEX('04_DATA'!$K296:$AU296,1))=37),"EXCLUDE","ok"))</f>
        <v/>
      </c>
      <c r="G299" s="55">
        <f>IF('04_DATA'!A296="","",IF('04_DATA'!D296&lt;PERCENTILE('04_DATA'!$D$2:$D$1001,0.05),"FLAG","ok"))</f>
        <v/>
      </c>
      <c r="H299" s="55">
        <f>IF('04_DATA'!A296="","",IF(OR(C299="EXCLUDE",F299="EXCLUDE"),"Exclude under pre-specified rule",IF(E299&gt;0.15,"Exclude: &gt;15% missing",IF(G299="FLAG","Retain; test in robustness battery","Retain"))))</f>
        <v/>
      </c>
    </row>
    <row r="300">
      <c r="A300" s="55" t="n">
        <v>297</v>
      </c>
      <c r="B300" s="55">
        <f>IF('04_DATA'!A297="","",'04_DATA'!A297)</f>
        <v/>
      </c>
      <c r="C300" s="55">
        <f>IF('04_DATA'!A297="","",IF(AND('04_DATA'!G297=1,'04_DATA'!H297=1,'04_DATA'!I297&gt;=3),"eligible","EXCLUDE"))</f>
        <v/>
      </c>
      <c r="D300" s="55">
        <f>IF('04_DATA'!A297="","",37-COUNT('04_DATA'!$K297:$AU297))</f>
        <v/>
      </c>
      <c r="E300" s="63">
        <f>IF('04_DATA'!A297="","",(37-COUNT('04_DATA'!$K297:$AU297))/37)</f>
        <v/>
      </c>
      <c r="F300" s="55">
        <f>IF('04_DATA'!A297="","",IF(AND(COUNT('04_DATA'!$K297:$AU297)=37,COUNTIF('04_DATA'!$K297:$AU297,INDEX('04_DATA'!$K297:$AU297,1))=37),"EXCLUDE","ok"))</f>
        <v/>
      </c>
      <c r="G300" s="55">
        <f>IF('04_DATA'!A297="","",IF('04_DATA'!D297&lt;PERCENTILE('04_DATA'!$D$2:$D$1001,0.05),"FLAG","ok"))</f>
        <v/>
      </c>
      <c r="H300" s="55">
        <f>IF('04_DATA'!A297="","",IF(OR(C300="EXCLUDE",F300="EXCLUDE"),"Exclude under pre-specified rule",IF(E300&gt;0.15,"Exclude: &gt;15% missing",IF(G300="FLAG","Retain; test in robustness battery","Retain"))))</f>
        <v/>
      </c>
    </row>
    <row r="301">
      <c r="A301" s="55" t="n">
        <v>298</v>
      </c>
      <c r="B301" s="55">
        <f>IF('04_DATA'!A298="","",'04_DATA'!A298)</f>
        <v/>
      </c>
      <c r="C301" s="55">
        <f>IF('04_DATA'!A298="","",IF(AND('04_DATA'!G298=1,'04_DATA'!H298=1,'04_DATA'!I298&gt;=3),"eligible","EXCLUDE"))</f>
        <v/>
      </c>
      <c r="D301" s="55">
        <f>IF('04_DATA'!A298="","",37-COUNT('04_DATA'!$K298:$AU298))</f>
        <v/>
      </c>
      <c r="E301" s="63">
        <f>IF('04_DATA'!A298="","",(37-COUNT('04_DATA'!$K298:$AU298))/37)</f>
        <v/>
      </c>
      <c r="F301" s="55">
        <f>IF('04_DATA'!A298="","",IF(AND(COUNT('04_DATA'!$K298:$AU298)=37,COUNTIF('04_DATA'!$K298:$AU298,INDEX('04_DATA'!$K298:$AU298,1))=37),"EXCLUDE","ok"))</f>
        <v/>
      </c>
      <c r="G301" s="55">
        <f>IF('04_DATA'!A298="","",IF('04_DATA'!D298&lt;PERCENTILE('04_DATA'!$D$2:$D$1001,0.05),"FLAG","ok"))</f>
        <v/>
      </c>
      <c r="H301" s="55">
        <f>IF('04_DATA'!A298="","",IF(OR(C301="EXCLUDE",F301="EXCLUDE"),"Exclude under pre-specified rule",IF(E301&gt;0.15,"Exclude: &gt;15% missing",IF(G301="FLAG","Retain; test in robustness battery","Retain"))))</f>
        <v/>
      </c>
    </row>
    <row r="302">
      <c r="A302" s="55" t="n">
        <v>299</v>
      </c>
      <c r="B302" s="55">
        <f>IF('04_DATA'!A299="","",'04_DATA'!A299)</f>
        <v/>
      </c>
      <c r="C302" s="55">
        <f>IF('04_DATA'!A299="","",IF(AND('04_DATA'!G299=1,'04_DATA'!H299=1,'04_DATA'!I299&gt;=3),"eligible","EXCLUDE"))</f>
        <v/>
      </c>
      <c r="D302" s="55">
        <f>IF('04_DATA'!A299="","",37-COUNT('04_DATA'!$K299:$AU299))</f>
        <v/>
      </c>
      <c r="E302" s="63">
        <f>IF('04_DATA'!A299="","",(37-COUNT('04_DATA'!$K299:$AU299))/37)</f>
        <v/>
      </c>
      <c r="F302" s="55">
        <f>IF('04_DATA'!A299="","",IF(AND(COUNT('04_DATA'!$K299:$AU299)=37,COUNTIF('04_DATA'!$K299:$AU299,INDEX('04_DATA'!$K299:$AU299,1))=37),"EXCLUDE","ok"))</f>
        <v/>
      </c>
      <c r="G302" s="55">
        <f>IF('04_DATA'!A299="","",IF('04_DATA'!D299&lt;PERCENTILE('04_DATA'!$D$2:$D$1001,0.05),"FLAG","ok"))</f>
        <v/>
      </c>
      <c r="H302" s="55">
        <f>IF('04_DATA'!A299="","",IF(OR(C302="EXCLUDE",F302="EXCLUDE"),"Exclude under pre-specified rule",IF(E302&gt;0.15,"Exclude: &gt;15% missing",IF(G302="FLAG","Retain; test in robustness battery","Retain"))))</f>
        <v/>
      </c>
    </row>
    <row r="303">
      <c r="A303" s="55" t="n">
        <v>300</v>
      </c>
      <c r="B303" s="55">
        <f>IF('04_DATA'!A300="","",'04_DATA'!A300)</f>
        <v/>
      </c>
      <c r="C303" s="55">
        <f>IF('04_DATA'!A300="","",IF(AND('04_DATA'!G300=1,'04_DATA'!H300=1,'04_DATA'!I300&gt;=3),"eligible","EXCLUDE"))</f>
        <v/>
      </c>
      <c r="D303" s="55">
        <f>IF('04_DATA'!A300="","",37-COUNT('04_DATA'!$K300:$AU300))</f>
        <v/>
      </c>
      <c r="E303" s="63">
        <f>IF('04_DATA'!A300="","",(37-COUNT('04_DATA'!$K300:$AU300))/37)</f>
        <v/>
      </c>
      <c r="F303" s="55">
        <f>IF('04_DATA'!A300="","",IF(AND(COUNT('04_DATA'!$K300:$AU300)=37,COUNTIF('04_DATA'!$K300:$AU300,INDEX('04_DATA'!$K300:$AU300,1))=37),"EXCLUDE","ok"))</f>
        <v/>
      </c>
      <c r="G303" s="55">
        <f>IF('04_DATA'!A300="","",IF('04_DATA'!D300&lt;PERCENTILE('04_DATA'!$D$2:$D$1001,0.05),"FLAG","ok"))</f>
        <v/>
      </c>
      <c r="H303" s="55">
        <f>IF('04_DATA'!A300="","",IF(OR(C303="EXCLUDE",F303="EXCLUDE"),"Exclude under pre-specified rule",IF(E303&gt;0.15,"Exclude: &gt;15% missing",IF(G303="FLAG","Retain; test in robustness battery","Retain"))))</f>
        <v/>
      </c>
    </row>
    <row r="304">
      <c r="A304" s="55" t="n">
        <v>301</v>
      </c>
      <c r="B304" s="55">
        <f>IF('04_DATA'!A301="","",'04_DATA'!A301)</f>
        <v/>
      </c>
      <c r="C304" s="55">
        <f>IF('04_DATA'!A301="","",IF(AND('04_DATA'!G301=1,'04_DATA'!H301=1,'04_DATA'!I301&gt;=3),"eligible","EXCLUDE"))</f>
        <v/>
      </c>
      <c r="D304" s="55">
        <f>IF('04_DATA'!A301="","",37-COUNT('04_DATA'!$K301:$AU301))</f>
        <v/>
      </c>
      <c r="E304" s="63">
        <f>IF('04_DATA'!A301="","",(37-COUNT('04_DATA'!$K301:$AU301))/37)</f>
        <v/>
      </c>
      <c r="F304" s="55">
        <f>IF('04_DATA'!A301="","",IF(AND(COUNT('04_DATA'!$K301:$AU301)=37,COUNTIF('04_DATA'!$K301:$AU301,INDEX('04_DATA'!$K301:$AU301,1))=37),"EXCLUDE","ok"))</f>
        <v/>
      </c>
      <c r="G304" s="55">
        <f>IF('04_DATA'!A301="","",IF('04_DATA'!D301&lt;PERCENTILE('04_DATA'!$D$2:$D$1001,0.05),"FLAG","ok"))</f>
        <v/>
      </c>
      <c r="H304" s="55">
        <f>IF('04_DATA'!A301="","",IF(OR(C304="EXCLUDE",F304="EXCLUDE"),"Exclude under pre-specified rule",IF(E304&gt;0.15,"Exclude: &gt;15% missing",IF(G304="FLAG","Retain; test in robustness battery","Retain"))))</f>
        <v/>
      </c>
    </row>
    <row r="305">
      <c r="A305" s="55" t="n">
        <v>302</v>
      </c>
      <c r="B305" s="55">
        <f>IF('04_DATA'!A302="","",'04_DATA'!A302)</f>
        <v/>
      </c>
      <c r="C305" s="55">
        <f>IF('04_DATA'!A302="","",IF(AND('04_DATA'!G302=1,'04_DATA'!H302=1,'04_DATA'!I302&gt;=3),"eligible","EXCLUDE"))</f>
        <v/>
      </c>
      <c r="D305" s="55">
        <f>IF('04_DATA'!A302="","",37-COUNT('04_DATA'!$K302:$AU302))</f>
        <v/>
      </c>
      <c r="E305" s="63">
        <f>IF('04_DATA'!A302="","",(37-COUNT('04_DATA'!$K302:$AU302))/37)</f>
        <v/>
      </c>
      <c r="F305" s="55">
        <f>IF('04_DATA'!A302="","",IF(AND(COUNT('04_DATA'!$K302:$AU302)=37,COUNTIF('04_DATA'!$K302:$AU302,INDEX('04_DATA'!$K302:$AU302,1))=37),"EXCLUDE","ok"))</f>
        <v/>
      </c>
      <c r="G305" s="55">
        <f>IF('04_DATA'!A302="","",IF('04_DATA'!D302&lt;PERCENTILE('04_DATA'!$D$2:$D$1001,0.05),"FLAG","ok"))</f>
        <v/>
      </c>
      <c r="H305" s="55">
        <f>IF('04_DATA'!A302="","",IF(OR(C305="EXCLUDE",F305="EXCLUDE"),"Exclude under pre-specified rule",IF(E305&gt;0.15,"Exclude: &gt;15% missing",IF(G305="FLAG","Retain; test in robustness battery","Retain"))))</f>
        <v/>
      </c>
    </row>
    <row r="306">
      <c r="A306" s="55" t="n">
        <v>303</v>
      </c>
      <c r="B306" s="55">
        <f>IF('04_DATA'!A303="","",'04_DATA'!A303)</f>
        <v/>
      </c>
      <c r="C306" s="55">
        <f>IF('04_DATA'!A303="","",IF(AND('04_DATA'!G303=1,'04_DATA'!H303=1,'04_DATA'!I303&gt;=3),"eligible","EXCLUDE"))</f>
        <v/>
      </c>
      <c r="D306" s="55">
        <f>IF('04_DATA'!A303="","",37-COUNT('04_DATA'!$K303:$AU303))</f>
        <v/>
      </c>
      <c r="E306" s="63">
        <f>IF('04_DATA'!A303="","",(37-COUNT('04_DATA'!$K303:$AU303))/37)</f>
        <v/>
      </c>
      <c r="F306" s="55">
        <f>IF('04_DATA'!A303="","",IF(AND(COUNT('04_DATA'!$K303:$AU303)=37,COUNTIF('04_DATA'!$K303:$AU303,INDEX('04_DATA'!$K303:$AU303,1))=37),"EXCLUDE","ok"))</f>
        <v/>
      </c>
      <c r="G306" s="55">
        <f>IF('04_DATA'!A303="","",IF('04_DATA'!D303&lt;PERCENTILE('04_DATA'!$D$2:$D$1001,0.05),"FLAG","ok"))</f>
        <v/>
      </c>
      <c r="H306" s="55">
        <f>IF('04_DATA'!A303="","",IF(OR(C306="EXCLUDE",F306="EXCLUDE"),"Exclude under pre-specified rule",IF(E306&gt;0.15,"Exclude: &gt;15% missing",IF(G306="FLAG","Retain; test in robustness battery","Retain"))))</f>
        <v/>
      </c>
    </row>
    <row r="307">
      <c r="A307" s="55" t="n">
        <v>304</v>
      </c>
      <c r="B307" s="55">
        <f>IF('04_DATA'!A304="","",'04_DATA'!A304)</f>
        <v/>
      </c>
      <c r="C307" s="55">
        <f>IF('04_DATA'!A304="","",IF(AND('04_DATA'!G304=1,'04_DATA'!H304=1,'04_DATA'!I304&gt;=3),"eligible","EXCLUDE"))</f>
        <v/>
      </c>
      <c r="D307" s="55">
        <f>IF('04_DATA'!A304="","",37-COUNT('04_DATA'!$K304:$AU304))</f>
        <v/>
      </c>
      <c r="E307" s="63">
        <f>IF('04_DATA'!A304="","",(37-COUNT('04_DATA'!$K304:$AU304))/37)</f>
        <v/>
      </c>
      <c r="F307" s="55">
        <f>IF('04_DATA'!A304="","",IF(AND(COUNT('04_DATA'!$K304:$AU304)=37,COUNTIF('04_DATA'!$K304:$AU304,INDEX('04_DATA'!$K304:$AU304,1))=37),"EXCLUDE","ok"))</f>
        <v/>
      </c>
      <c r="G307" s="55">
        <f>IF('04_DATA'!A304="","",IF('04_DATA'!D304&lt;PERCENTILE('04_DATA'!$D$2:$D$1001,0.05),"FLAG","ok"))</f>
        <v/>
      </c>
      <c r="H307" s="55">
        <f>IF('04_DATA'!A304="","",IF(OR(C307="EXCLUDE",F307="EXCLUDE"),"Exclude under pre-specified rule",IF(E307&gt;0.15,"Exclude: &gt;15% missing",IF(G307="FLAG","Retain; test in robustness battery","Retain"))))</f>
        <v/>
      </c>
    </row>
    <row r="308">
      <c r="A308" s="55" t="n">
        <v>305</v>
      </c>
      <c r="B308" s="55">
        <f>IF('04_DATA'!A305="","",'04_DATA'!A305)</f>
        <v/>
      </c>
      <c r="C308" s="55">
        <f>IF('04_DATA'!A305="","",IF(AND('04_DATA'!G305=1,'04_DATA'!H305=1,'04_DATA'!I305&gt;=3),"eligible","EXCLUDE"))</f>
        <v/>
      </c>
      <c r="D308" s="55">
        <f>IF('04_DATA'!A305="","",37-COUNT('04_DATA'!$K305:$AU305))</f>
        <v/>
      </c>
      <c r="E308" s="63">
        <f>IF('04_DATA'!A305="","",(37-COUNT('04_DATA'!$K305:$AU305))/37)</f>
        <v/>
      </c>
      <c r="F308" s="55">
        <f>IF('04_DATA'!A305="","",IF(AND(COUNT('04_DATA'!$K305:$AU305)=37,COUNTIF('04_DATA'!$K305:$AU305,INDEX('04_DATA'!$K305:$AU305,1))=37),"EXCLUDE","ok"))</f>
        <v/>
      </c>
      <c r="G308" s="55">
        <f>IF('04_DATA'!A305="","",IF('04_DATA'!D305&lt;PERCENTILE('04_DATA'!$D$2:$D$1001,0.05),"FLAG","ok"))</f>
        <v/>
      </c>
      <c r="H308" s="55">
        <f>IF('04_DATA'!A305="","",IF(OR(C308="EXCLUDE",F308="EXCLUDE"),"Exclude under pre-specified rule",IF(E308&gt;0.15,"Exclude: &gt;15% missing",IF(G308="FLAG","Retain; test in robustness battery","Retain"))))</f>
        <v/>
      </c>
    </row>
    <row r="309">
      <c r="A309" s="55" t="n">
        <v>306</v>
      </c>
      <c r="B309" s="55">
        <f>IF('04_DATA'!A306="","",'04_DATA'!A306)</f>
        <v/>
      </c>
      <c r="C309" s="55">
        <f>IF('04_DATA'!A306="","",IF(AND('04_DATA'!G306=1,'04_DATA'!H306=1,'04_DATA'!I306&gt;=3),"eligible","EXCLUDE"))</f>
        <v/>
      </c>
      <c r="D309" s="55">
        <f>IF('04_DATA'!A306="","",37-COUNT('04_DATA'!$K306:$AU306))</f>
        <v/>
      </c>
      <c r="E309" s="63">
        <f>IF('04_DATA'!A306="","",(37-COUNT('04_DATA'!$K306:$AU306))/37)</f>
        <v/>
      </c>
      <c r="F309" s="55">
        <f>IF('04_DATA'!A306="","",IF(AND(COUNT('04_DATA'!$K306:$AU306)=37,COUNTIF('04_DATA'!$K306:$AU306,INDEX('04_DATA'!$K306:$AU306,1))=37),"EXCLUDE","ok"))</f>
        <v/>
      </c>
      <c r="G309" s="55">
        <f>IF('04_DATA'!A306="","",IF('04_DATA'!D306&lt;PERCENTILE('04_DATA'!$D$2:$D$1001,0.05),"FLAG","ok"))</f>
        <v/>
      </c>
      <c r="H309" s="55">
        <f>IF('04_DATA'!A306="","",IF(OR(C309="EXCLUDE",F309="EXCLUDE"),"Exclude under pre-specified rule",IF(E309&gt;0.15,"Exclude: &gt;15% missing",IF(G309="FLAG","Retain; test in robustness battery","Retain"))))</f>
        <v/>
      </c>
    </row>
    <row r="310">
      <c r="A310" s="55" t="n">
        <v>307</v>
      </c>
      <c r="B310" s="55">
        <f>IF('04_DATA'!A307="","",'04_DATA'!A307)</f>
        <v/>
      </c>
      <c r="C310" s="55">
        <f>IF('04_DATA'!A307="","",IF(AND('04_DATA'!G307=1,'04_DATA'!H307=1,'04_DATA'!I307&gt;=3),"eligible","EXCLUDE"))</f>
        <v/>
      </c>
      <c r="D310" s="55">
        <f>IF('04_DATA'!A307="","",37-COUNT('04_DATA'!$K307:$AU307))</f>
        <v/>
      </c>
      <c r="E310" s="63">
        <f>IF('04_DATA'!A307="","",(37-COUNT('04_DATA'!$K307:$AU307))/37)</f>
        <v/>
      </c>
      <c r="F310" s="55">
        <f>IF('04_DATA'!A307="","",IF(AND(COUNT('04_DATA'!$K307:$AU307)=37,COUNTIF('04_DATA'!$K307:$AU307,INDEX('04_DATA'!$K307:$AU307,1))=37),"EXCLUDE","ok"))</f>
        <v/>
      </c>
      <c r="G310" s="55">
        <f>IF('04_DATA'!A307="","",IF('04_DATA'!D307&lt;PERCENTILE('04_DATA'!$D$2:$D$1001,0.05),"FLAG","ok"))</f>
        <v/>
      </c>
      <c r="H310" s="55">
        <f>IF('04_DATA'!A307="","",IF(OR(C310="EXCLUDE",F310="EXCLUDE"),"Exclude under pre-specified rule",IF(E310&gt;0.15,"Exclude: &gt;15% missing",IF(G310="FLAG","Retain; test in robustness battery","Retain"))))</f>
        <v/>
      </c>
    </row>
    <row r="311">
      <c r="A311" s="55" t="n">
        <v>308</v>
      </c>
      <c r="B311" s="55">
        <f>IF('04_DATA'!A308="","",'04_DATA'!A308)</f>
        <v/>
      </c>
      <c r="C311" s="55">
        <f>IF('04_DATA'!A308="","",IF(AND('04_DATA'!G308=1,'04_DATA'!H308=1,'04_DATA'!I308&gt;=3),"eligible","EXCLUDE"))</f>
        <v/>
      </c>
      <c r="D311" s="55">
        <f>IF('04_DATA'!A308="","",37-COUNT('04_DATA'!$K308:$AU308))</f>
        <v/>
      </c>
      <c r="E311" s="63">
        <f>IF('04_DATA'!A308="","",(37-COUNT('04_DATA'!$K308:$AU308))/37)</f>
        <v/>
      </c>
      <c r="F311" s="55">
        <f>IF('04_DATA'!A308="","",IF(AND(COUNT('04_DATA'!$K308:$AU308)=37,COUNTIF('04_DATA'!$K308:$AU308,INDEX('04_DATA'!$K308:$AU308,1))=37),"EXCLUDE","ok"))</f>
        <v/>
      </c>
      <c r="G311" s="55">
        <f>IF('04_DATA'!A308="","",IF('04_DATA'!D308&lt;PERCENTILE('04_DATA'!$D$2:$D$1001,0.05),"FLAG","ok"))</f>
        <v/>
      </c>
      <c r="H311" s="55">
        <f>IF('04_DATA'!A308="","",IF(OR(C311="EXCLUDE",F311="EXCLUDE"),"Exclude under pre-specified rule",IF(E311&gt;0.15,"Exclude: &gt;15% missing",IF(G311="FLAG","Retain; test in robustness battery","Retain"))))</f>
        <v/>
      </c>
    </row>
    <row r="312">
      <c r="A312" s="55" t="n">
        <v>309</v>
      </c>
      <c r="B312" s="55">
        <f>IF('04_DATA'!A309="","",'04_DATA'!A309)</f>
        <v/>
      </c>
      <c r="C312" s="55">
        <f>IF('04_DATA'!A309="","",IF(AND('04_DATA'!G309=1,'04_DATA'!H309=1,'04_DATA'!I309&gt;=3),"eligible","EXCLUDE"))</f>
        <v/>
      </c>
      <c r="D312" s="55">
        <f>IF('04_DATA'!A309="","",37-COUNT('04_DATA'!$K309:$AU309))</f>
        <v/>
      </c>
      <c r="E312" s="63">
        <f>IF('04_DATA'!A309="","",(37-COUNT('04_DATA'!$K309:$AU309))/37)</f>
        <v/>
      </c>
      <c r="F312" s="55">
        <f>IF('04_DATA'!A309="","",IF(AND(COUNT('04_DATA'!$K309:$AU309)=37,COUNTIF('04_DATA'!$K309:$AU309,INDEX('04_DATA'!$K309:$AU309,1))=37),"EXCLUDE","ok"))</f>
        <v/>
      </c>
      <c r="G312" s="55">
        <f>IF('04_DATA'!A309="","",IF('04_DATA'!D309&lt;PERCENTILE('04_DATA'!$D$2:$D$1001,0.05),"FLAG","ok"))</f>
        <v/>
      </c>
      <c r="H312" s="55">
        <f>IF('04_DATA'!A309="","",IF(OR(C312="EXCLUDE",F312="EXCLUDE"),"Exclude under pre-specified rule",IF(E312&gt;0.15,"Exclude: &gt;15% missing",IF(G312="FLAG","Retain; test in robustness battery","Retain"))))</f>
        <v/>
      </c>
    </row>
    <row r="313">
      <c r="A313" s="55" t="n">
        <v>310</v>
      </c>
      <c r="B313" s="55">
        <f>IF('04_DATA'!A310="","",'04_DATA'!A310)</f>
        <v/>
      </c>
      <c r="C313" s="55">
        <f>IF('04_DATA'!A310="","",IF(AND('04_DATA'!G310=1,'04_DATA'!H310=1,'04_DATA'!I310&gt;=3),"eligible","EXCLUDE"))</f>
        <v/>
      </c>
      <c r="D313" s="55">
        <f>IF('04_DATA'!A310="","",37-COUNT('04_DATA'!$K310:$AU310))</f>
        <v/>
      </c>
      <c r="E313" s="63">
        <f>IF('04_DATA'!A310="","",(37-COUNT('04_DATA'!$K310:$AU310))/37)</f>
        <v/>
      </c>
      <c r="F313" s="55">
        <f>IF('04_DATA'!A310="","",IF(AND(COUNT('04_DATA'!$K310:$AU310)=37,COUNTIF('04_DATA'!$K310:$AU310,INDEX('04_DATA'!$K310:$AU310,1))=37),"EXCLUDE","ok"))</f>
        <v/>
      </c>
      <c r="G313" s="55">
        <f>IF('04_DATA'!A310="","",IF('04_DATA'!D310&lt;PERCENTILE('04_DATA'!$D$2:$D$1001,0.05),"FLAG","ok"))</f>
        <v/>
      </c>
      <c r="H313" s="55">
        <f>IF('04_DATA'!A310="","",IF(OR(C313="EXCLUDE",F313="EXCLUDE"),"Exclude under pre-specified rule",IF(E313&gt;0.15,"Exclude: &gt;15% missing",IF(G313="FLAG","Retain; test in robustness battery","Retain"))))</f>
        <v/>
      </c>
    </row>
    <row r="314">
      <c r="A314" s="55" t="n">
        <v>311</v>
      </c>
      <c r="B314" s="55">
        <f>IF('04_DATA'!A311="","",'04_DATA'!A311)</f>
        <v/>
      </c>
      <c r="C314" s="55">
        <f>IF('04_DATA'!A311="","",IF(AND('04_DATA'!G311=1,'04_DATA'!H311=1,'04_DATA'!I311&gt;=3),"eligible","EXCLUDE"))</f>
        <v/>
      </c>
      <c r="D314" s="55">
        <f>IF('04_DATA'!A311="","",37-COUNT('04_DATA'!$K311:$AU311))</f>
        <v/>
      </c>
      <c r="E314" s="63">
        <f>IF('04_DATA'!A311="","",(37-COUNT('04_DATA'!$K311:$AU311))/37)</f>
        <v/>
      </c>
      <c r="F314" s="55">
        <f>IF('04_DATA'!A311="","",IF(AND(COUNT('04_DATA'!$K311:$AU311)=37,COUNTIF('04_DATA'!$K311:$AU311,INDEX('04_DATA'!$K311:$AU311,1))=37),"EXCLUDE","ok"))</f>
        <v/>
      </c>
      <c r="G314" s="55">
        <f>IF('04_DATA'!A311="","",IF('04_DATA'!D311&lt;PERCENTILE('04_DATA'!$D$2:$D$1001,0.05),"FLAG","ok"))</f>
        <v/>
      </c>
      <c r="H314" s="55">
        <f>IF('04_DATA'!A311="","",IF(OR(C314="EXCLUDE",F314="EXCLUDE"),"Exclude under pre-specified rule",IF(E314&gt;0.15,"Exclude: &gt;15% missing",IF(G314="FLAG","Retain; test in robustness battery","Retain"))))</f>
        <v/>
      </c>
    </row>
    <row r="315">
      <c r="A315" s="55" t="n">
        <v>312</v>
      </c>
      <c r="B315" s="55">
        <f>IF('04_DATA'!A312="","",'04_DATA'!A312)</f>
        <v/>
      </c>
      <c r="C315" s="55">
        <f>IF('04_DATA'!A312="","",IF(AND('04_DATA'!G312=1,'04_DATA'!H312=1,'04_DATA'!I312&gt;=3),"eligible","EXCLUDE"))</f>
        <v/>
      </c>
      <c r="D315" s="55">
        <f>IF('04_DATA'!A312="","",37-COUNT('04_DATA'!$K312:$AU312))</f>
        <v/>
      </c>
      <c r="E315" s="63">
        <f>IF('04_DATA'!A312="","",(37-COUNT('04_DATA'!$K312:$AU312))/37)</f>
        <v/>
      </c>
      <c r="F315" s="55">
        <f>IF('04_DATA'!A312="","",IF(AND(COUNT('04_DATA'!$K312:$AU312)=37,COUNTIF('04_DATA'!$K312:$AU312,INDEX('04_DATA'!$K312:$AU312,1))=37),"EXCLUDE","ok"))</f>
        <v/>
      </c>
      <c r="G315" s="55">
        <f>IF('04_DATA'!A312="","",IF('04_DATA'!D312&lt;PERCENTILE('04_DATA'!$D$2:$D$1001,0.05),"FLAG","ok"))</f>
        <v/>
      </c>
      <c r="H315" s="55">
        <f>IF('04_DATA'!A312="","",IF(OR(C315="EXCLUDE",F315="EXCLUDE"),"Exclude under pre-specified rule",IF(E315&gt;0.15,"Exclude: &gt;15% missing",IF(G315="FLAG","Retain; test in robustness battery","Retain"))))</f>
        <v/>
      </c>
    </row>
    <row r="316">
      <c r="A316" s="55" t="n">
        <v>313</v>
      </c>
      <c r="B316" s="55">
        <f>IF('04_DATA'!A313="","",'04_DATA'!A313)</f>
        <v/>
      </c>
      <c r="C316" s="55">
        <f>IF('04_DATA'!A313="","",IF(AND('04_DATA'!G313=1,'04_DATA'!H313=1,'04_DATA'!I313&gt;=3),"eligible","EXCLUDE"))</f>
        <v/>
      </c>
      <c r="D316" s="55">
        <f>IF('04_DATA'!A313="","",37-COUNT('04_DATA'!$K313:$AU313))</f>
        <v/>
      </c>
      <c r="E316" s="63">
        <f>IF('04_DATA'!A313="","",(37-COUNT('04_DATA'!$K313:$AU313))/37)</f>
        <v/>
      </c>
      <c r="F316" s="55">
        <f>IF('04_DATA'!A313="","",IF(AND(COUNT('04_DATA'!$K313:$AU313)=37,COUNTIF('04_DATA'!$K313:$AU313,INDEX('04_DATA'!$K313:$AU313,1))=37),"EXCLUDE","ok"))</f>
        <v/>
      </c>
      <c r="G316" s="55">
        <f>IF('04_DATA'!A313="","",IF('04_DATA'!D313&lt;PERCENTILE('04_DATA'!$D$2:$D$1001,0.05),"FLAG","ok"))</f>
        <v/>
      </c>
      <c r="H316" s="55">
        <f>IF('04_DATA'!A313="","",IF(OR(C316="EXCLUDE",F316="EXCLUDE"),"Exclude under pre-specified rule",IF(E316&gt;0.15,"Exclude: &gt;15% missing",IF(G316="FLAG","Retain; test in robustness battery","Retain"))))</f>
        <v/>
      </c>
    </row>
    <row r="317">
      <c r="A317" s="55" t="n">
        <v>314</v>
      </c>
      <c r="B317" s="55">
        <f>IF('04_DATA'!A314="","",'04_DATA'!A314)</f>
        <v/>
      </c>
      <c r="C317" s="55">
        <f>IF('04_DATA'!A314="","",IF(AND('04_DATA'!G314=1,'04_DATA'!H314=1,'04_DATA'!I314&gt;=3),"eligible","EXCLUDE"))</f>
        <v/>
      </c>
      <c r="D317" s="55">
        <f>IF('04_DATA'!A314="","",37-COUNT('04_DATA'!$K314:$AU314))</f>
        <v/>
      </c>
      <c r="E317" s="63">
        <f>IF('04_DATA'!A314="","",(37-COUNT('04_DATA'!$K314:$AU314))/37)</f>
        <v/>
      </c>
      <c r="F317" s="55">
        <f>IF('04_DATA'!A314="","",IF(AND(COUNT('04_DATA'!$K314:$AU314)=37,COUNTIF('04_DATA'!$K314:$AU314,INDEX('04_DATA'!$K314:$AU314,1))=37),"EXCLUDE","ok"))</f>
        <v/>
      </c>
      <c r="G317" s="55">
        <f>IF('04_DATA'!A314="","",IF('04_DATA'!D314&lt;PERCENTILE('04_DATA'!$D$2:$D$1001,0.05),"FLAG","ok"))</f>
        <v/>
      </c>
      <c r="H317" s="55">
        <f>IF('04_DATA'!A314="","",IF(OR(C317="EXCLUDE",F317="EXCLUDE"),"Exclude under pre-specified rule",IF(E317&gt;0.15,"Exclude: &gt;15% missing",IF(G317="FLAG","Retain; test in robustness battery","Retain"))))</f>
        <v/>
      </c>
    </row>
    <row r="318">
      <c r="A318" s="55" t="n">
        <v>315</v>
      </c>
      <c r="B318" s="55">
        <f>IF('04_DATA'!A315="","",'04_DATA'!A315)</f>
        <v/>
      </c>
      <c r="C318" s="55">
        <f>IF('04_DATA'!A315="","",IF(AND('04_DATA'!G315=1,'04_DATA'!H315=1,'04_DATA'!I315&gt;=3),"eligible","EXCLUDE"))</f>
        <v/>
      </c>
      <c r="D318" s="55">
        <f>IF('04_DATA'!A315="","",37-COUNT('04_DATA'!$K315:$AU315))</f>
        <v/>
      </c>
      <c r="E318" s="63">
        <f>IF('04_DATA'!A315="","",(37-COUNT('04_DATA'!$K315:$AU315))/37)</f>
        <v/>
      </c>
      <c r="F318" s="55">
        <f>IF('04_DATA'!A315="","",IF(AND(COUNT('04_DATA'!$K315:$AU315)=37,COUNTIF('04_DATA'!$K315:$AU315,INDEX('04_DATA'!$K315:$AU315,1))=37),"EXCLUDE","ok"))</f>
        <v/>
      </c>
      <c r="G318" s="55">
        <f>IF('04_DATA'!A315="","",IF('04_DATA'!D315&lt;PERCENTILE('04_DATA'!$D$2:$D$1001,0.05),"FLAG","ok"))</f>
        <v/>
      </c>
      <c r="H318" s="55">
        <f>IF('04_DATA'!A315="","",IF(OR(C318="EXCLUDE",F318="EXCLUDE"),"Exclude under pre-specified rule",IF(E318&gt;0.15,"Exclude: &gt;15% missing",IF(G318="FLAG","Retain; test in robustness battery","Retain"))))</f>
        <v/>
      </c>
    </row>
    <row r="319">
      <c r="A319" s="55" t="n">
        <v>316</v>
      </c>
      <c r="B319" s="55">
        <f>IF('04_DATA'!A316="","",'04_DATA'!A316)</f>
        <v/>
      </c>
      <c r="C319" s="55">
        <f>IF('04_DATA'!A316="","",IF(AND('04_DATA'!G316=1,'04_DATA'!H316=1,'04_DATA'!I316&gt;=3),"eligible","EXCLUDE"))</f>
        <v/>
      </c>
      <c r="D319" s="55">
        <f>IF('04_DATA'!A316="","",37-COUNT('04_DATA'!$K316:$AU316))</f>
        <v/>
      </c>
      <c r="E319" s="63">
        <f>IF('04_DATA'!A316="","",(37-COUNT('04_DATA'!$K316:$AU316))/37)</f>
        <v/>
      </c>
      <c r="F319" s="55">
        <f>IF('04_DATA'!A316="","",IF(AND(COUNT('04_DATA'!$K316:$AU316)=37,COUNTIF('04_DATA'!$K316:$AU316,INDEX('04_DATA'!$K316:$AU316,1))=37),"EXCLUDE","ok"))</f>
        <v/>
      </c>
      <c r="G319" s="55">
        <f>IF('04_DATA'!A316="","",IF('04_DATA'!D316&lt;PERCENTILE('04_DATA'!$D$2:$D$1001,0.05),"FLAG","ok"))</f>
        <v/>
      </c>
      <c r="H319" s="55">
        <f>IF('04_DATA'!A316="","",IF(OR(C319="EXCLUDE",F319="EXCLUDE"),"Exclude under pre-specified rule",IF(E319&gt;0.15,"Exclude: &gt;15% missing",IF(G319="FLAG","Retain; test in robustness battery","Retain"))))</f>
        <v/>
      </c>
    </row>
    <row r="320">
      <c r="A320" s="55" t="n">
        <v>317</v>
      </c>
      <c r="B320" s="55">
        <f>IF('04_DATA'!A317="","",'04_DATA'!A317)</f>
        <v/>
      </c>
      <c r="C320" s="55">
        <f>IF('04_DATA'!A317="","",IF(AND('04_DATA'!G317=1,'04_DATA'!H317=1,'04_DATA'!I317&gt;=3),"eligible","EXCLUDE"))</f>
        <v/>
      </c>
      <c r="D320" s="55">
        <f>IF('04_DATA'!A317="","",37-COUNT('04_DATA'!$K317:$AU317))</f>
        <v/>
      </c>
      <c r="E320" s="63">
        <f>IF('04_DATA'!A317="","",(37-COUNT('04_DATA'!$K317:$AU317))/37)</f>
        <v/>
      </c>
      <c r="F320" s="55">
        <f>IF('04_DATA'!A317="","",IF(AND(COUNT('04_DATA'!$K317:$AU317)=37,COUNTIF('04_DATA'!$K317:$AU317,INDEX('04_DATA'!$K317:$AU317,1))=37),"EXCLUDE","ok"))</f>
        <v/>
      </c>
      <c r="G320" s="55">
        <f>IF('04_DATA'!A317="","",IF('04_DATA'!D317&lt;PERCENTILE('04_DATA'!$D$2:$D$1001,0.05),"FLAG","ok"))</f>
        <v/>
      </c>
      <c r="H320" s="55">
        <f>IF('04_DATA'!A317="","",IF(OR(C320="EXCLUDE",F320="EXCLUDE"),"Exclude under pre-specified rule",IF(E320&gt;0.15,"Exclude: &gt;15% missing",IF(G320="FLAG","Retain; test in robustness battery","Retain"))))</f>
        <v/>
      </c>
    </row>
    <row r="321">
      <c r="A321" s="55" t="n">
        <v>318</v>
      </c>
      <c r="B321" s="55">
        <f>IF('04_DATA'!A318="","",'04_DATA'!A318)</f>
        <v/>
      </c>
      <c r="C321" s="55">
        <f>IF('04_DATA'!A318="","",IF(AND('04_DATA'!G318=1,'04_DATA'!H318=1,'04_DATA'!I318&gt;=3),"eligible","EXCLUDE"))</f>
        <v/>
      </c>
      <c r="D321" s="55">
        <f>IF('04_DATA'!A318="","",37-COUNT('04_DATA'!$K318:$AU318))</f>
        <v/>
      </c>
      <c r="E321" s="63">
        <f>IF('04_DATA'!A318="","",(37-COUNT('04_DATA'!$K318:$AU318))/37)</f>
        <v/>
      </c>
      <c r="F321" s="55">
        <f>IF('04_DATA'!A318="","",IF(AND(COUNT('04_DATA'!$K318:$AU318)=37,COUNTIF('04_DATA'!$K318:$AU318,INDEX('04_DATA'!$K318:$AU318,1))=37),"EXCLUDE","ok"))</f>
        <v/>
      </c>
      <c r="G321" s="55">
        <f>IF('04_DATA'!A318="","",IF('04_DATA'!D318&lt;PERCENTILE('04_DATA'!$D$2:$D$1001,0.05),"FLAG","ok"))</f>
        <v/>
      </c>
      <c r="H321" s="55">
        <f>IF('04_DATA'!A318="","",IF(OR(C321="EXCLUDE",F321="EXCLUDE"),"Exclude under pre-specified rule",IF(E321&gt;0.15,"Exclude: &gt;15% missing",IF(G321="FLAG","Retain; test in robustness battery","Retain"))))</f>
        <v/>
      </c>
    </row>
    <row r="322">
      <c r="A322" s="55" t="n">
        <v>319</v>
      </c>
      <c r="B322" s="55">
        <f>IF('04_DATA'!A319="","",'04_DATA'!A319)</f>
        <v/>
      </c>
      <c r="C322" s="55">
        <f>IF('04_DATA'!A319="","",IF(AND('04_DATA'!G319=1,'04_DATA'!H319=1,'04_DATA'!I319&gt;=3),"eligible","EXCLUDE"))</f>
        <v/>
      </c>
      <c r="D322" s="55">
        <f>IF('04_DATA'!A319="","",37-COUNT('04_DATA'!$K319:$AU319))</f>
        <v/>
      </c>
      <c r="E322" s="63">
        <f>IF('04_DATA'!A319="","",(37-COUNT('04_DATA'!$K319:$AU319))/37)</f>
        <v/>
      </c>
      <c r="F322" s="55">
        <f>IF('04_DATA'!A319="","",IF(AND(COUNT('04_DATA'!$K319:$AU319)=37,COUNTIF('04_DATA'!$K319:$AU319,INDEX('04_DATA'!$K319:$AU319,1))=37),"EXCLUDE","ok"))</f>
        <v/>
      </c>
      <c r="G322" s="55">
        <f>IF('04_DATA'!A319="","",IF('04_DATA'!D319&lt;PERCENTILE('04_DATA'!$D$2:$D$1001,0.05),"FLAG","ok"))</f>
        <v/>
      </c>
      <c r="H322" s="55">
        <f>IF('04_DATA'!A319="","",IF(OR(C322="EXCLUDE",F322="EXCLUDE"),"Exclude under pre-specified rule",IF(E322&gt;0.15,"Exclude: &gt;15% missing",IF(G322="FLAG","Retain; test in robustness battery","Retain"))))</f>
        <v/>
      </c>
    </row>
    <row r="323">
      <c r="A323" s="55" t="n">
        <v>320</v>
      </c>
      <c r="B323" s="55">
        <f>IF('04_DATA'!A320="","",'04_DATA'!A320)</f>
        <v/>
      </c>
      <c r="C323" s="55">
        <f>IF('04_DATA'!A320="","",IF(AND('04_DATA'!G320=1,'04_DATA'!H320=1,'04_DATA'!I320&gt;=3),"eligible","EXCLUDE"))</f>
        <v/>
      </c>
      <c r="D323" s="55">
        <f>IF('04_DATA'!A320="","",37-COUNT('04_DATA'!$K320:$AU320))</f>
        <v/>
      </c>
      <c r="E323" s="63">
        <f>IF('04_DATA'!A320="","",(37-COUNT('04_DATA'!$K320:$AU320))/37)</f>
        <v/>
      </c>
      <c r="F323" s="55">
        <f>IF('04_DATA'!A320="","",IF(AND(COUNT('04_DATA'!$K320:$AU320)=37,COUNTIF('04_DATA'!$K320:$AU320,INDEX('04_DATA'!$K320:$AU320,1))=37),"EXCLUDE","ok"))</f>
        <v/>
      </c>
      <c r="G323" s="55">
        <f>IF('04_DATA'!A320="","",IF('04_DATA'!D320&lt;PERCENTILE('04_DATA'!$D$2:$D$1001,0.05),"FLAG","ok"))</f>
        <v/>
      </c>
      <c r="H323" s="55">
        <f>IF('04_DATA'!A320="","",IF(OR(C323="EXCLUDE",F323="EXCLUDE"),"Exclude under pre-specified rule",IF(E323&gt;0.15,"Exclude: &gt;15% missing",IF(G323="FLAG","Retain; test in robustness battery","Retain"))))</f>
        <v/>
      </c>
    </row>
    <row r="324">
      <c r="A324" s="55" t="n">
        <v>321</v>
      </c>
      <c r="B324" s="55">
        <f>IF('04_DATA'!A321="","",'04_DATA'!A321)</f>
        <v/>
      </c>
      <c r="C324" s="55">
        <f>IF('04_DATA'!A321="","",IF(AND('04_DATA'!G321=1,'04_DATA'!H321=1,'04_DATA'!I321&gt;=3),"eligible","EXCLUDE"))</f>
        <v/>
      </c>
      <c r="D324" s="55">
        <f>IF('04_DATA'!A321="","",37-COUNT('04_DATA'!$K321:$AU321))</f>
        <v/>
      </c>
      <c r="E324" s="63">
        <f>IF('04_DATA'!A321="","",(37-COUNT('04_DATA'!$K321:$AU321))/37)</f>
        <v/>
      </c>
      <c r="F324" s="55">
        <f>IF('04_DATA'!A321="","",IF(AND(COUNT('04_DATA'!$K321:$AU321)=37,COUNTIF('04_DATA'!$K321:$AU321,INDEX('04_DATA'!$K321:$AU321,1))=37),"EXCLUDE","ok"))</f>
        <v/>
      </c>
      <c r="G324" s="55">
        <f>IF('04_DATA'!A321="","",IF('04_DATA'!D321&lt;PERCENTILE('04_DATA'!$D$2:$D$1001,0.05),"FLAG","ok"))</f>
        <v/>
      </c>
      <c r="H324" s="55">
        <f>IF('04_DATA'!A321="","",IF(OR(C324="EXCLUDE",F324="EXCLUDE"),"Exclude under pre-specified rule",IF(E324&gt;0.15,"Exclude: &gt;15% missing",IF(G324="FLAG","Retain; test in robustness battery","Retain"))))</f>
        <v/>
      </c>
    </row>
    <row r="325">
      <c r="A325" s="55" t="n">
        <v>322</v>
      </c>
      <c r="B325" s="55">
        <f>IF('04_DATA'!A322="","",'04_DATA'!A322)</f>
        <v/>
      </c>
      <c r="C325" s="55">
        <f>IF('04_DATA'!A322="","",IF(AND('04_DATA'!G322=1,'04_DATA'!H322=1,'04_DATA'!I322&gt;=3),"eligible","EXCLUDE"))</f>
        <v/>
      </c>
      <c r="D325" s="55">
        <f>IF('04_DATA'!A322="","",37-COUNT('04_DATA'!$K322:$AU322))</f>
        <v/>
      </c>
      <c r="E325" s="63">
        <f>IF('04_DATA'!A322="","",(37-COUNT('04_DATA'!$K322:$AU322))/37)</f>
        <v/>
      </c>
      <c r="F325" s="55">
        <f>IF('04_DATA'!A322="","",IF(AND(COUNT('04_DATA'!$K322:$AU322)=37,COUNTIF('04_DATA'!$K322:$AU322,INDEX('04_DATA'!$K322:$AU322,1))=37),"EXCLUDE","ok"))</f>
        <v/>
      </c>
      <c r="G325" s="55">
        <f>IF('04_DATA'!A322="","",IF('04_DATA'!D322&lt;PERCENTILE('04_DATA'!$D$2:$D$1001,0.05),"FLAG","ok"))</f>
        <v/>
      </c>
      <c r="H325" s="55">
        <f>IF('04_DATA'!A322="","",IF(OR(C325="EXCLUDE",F325="EXCLUDE"),"Exclude under pre-specified rule",IF(E325&gt;0.15,"Exclude: &gt;15% missing",IF(G325="FLAG","Retain; test in robustness battery","Retain"))))</f>
        <v/>
      </c>
    </row>
    <row r="326">
      <c r="A326" s="55" t="n">
        <v>323</v>
      </c>
      <c r="B326" s="55">
        <f>IF('04_DATA'!A323="","",'04_DATA'!A323)</f>
        <v/>
      </c>
      <c r="C326" s="55">
        <f>IF('04_DATA'!A323="","",IF(AND('04_DATA'!G323=1,'04_DATA'!H323=1,'04_DATA'!I323&gt;=3),"eligible","EXCLUDE"))</f>
        <v/>
      </c>
      <c r="D326" s="55">
        <f>IF('04_DATA'!A323="","",37-COUNT('04_DATA'!$K323:$AU323))</f>
        <v/>
      </c>
      <c r="E326" s="63">
        <f>IF('04_DATA'!A323="","",(37-COUNT('04_DATA'!$K323:$AU323))/37)</f>
        <v/>
      </c>
      <c r="F326" s="55">
        <f>IF('04_DATA'!A323="","",IF(AND(COUNT('04_DATA'!$K323:$AU323)=37,COUNTIF('04_DATA'!$K323:$AU323,INDEX('04_DATA'!$K323:$AU323,1))=37),"EXCLUDE","ok"))</f>
        <v/>
      </c>
      <c r="G326" s="55">
        <f>IF('04_DATA'!A323="","",IF('04_DATA'!D323&lt;PERCENTILE('04_DATA'!$D$2:$D$1001,0.05),"FLAG","ok"))</f>
        <v/>
      </c>
      <c r="H326" s="55">
        <f>IF('04_DATA'!A323="","",IF(OR(C326="EXCLUDE",F326="EXCLUDE"),"Exclude under pre-specified rule",IF(E326&gt;0.15,"Exclude: &gt;15% missing",IF(G326="FLAG","Retain; test in robustness battery","Retain"))))</f>
        <v/>
      </c>
    </row>
    <row r="327">
      <c r="A327" s="55" t="n">
        <v>324</v>
      </c>
      <c r="B327" s="55">
        <f>IF('04_DATA'!A324="","",'04_DATA'!A324)</f>
        <v/>
      </c>
      <c r="C327" s="55">
        <f>IF('04_DATA'!A324="","",IF(AND('04_DATA'!G324=1,'04_DATA'!H324=1,'04_DATA'!I324&gt;=3),"eligible","EXCLUDE"))</f>
        <v/>
      </c>
      <c r="D327" s="55">
        <f>IF('04_DATA'!A324="","",37-COUNT('04_DATA'!$K324:$AU324))</f>
        <v/>
      </c>
      <c r="E327" s="63">
        <f>IF('04_DATA'!A324="","",(37-COUNT('04_DATA'!$K324:$AU324))/37)</f>
        <v/>
      </c>
      <c r="F327" s="55">
        <f>IF('04_DATA'!A324="","",IF(AND(COUNT('04_DATA'!$K324:$AU324)=37,COUNTIF('04_DATA'!$K324:$AU324,INDEX('04_DATA'!$K324:$AU324,1))=37),"EXCLUDE","ok"))</f>
        <v/>
      </c>
      <c r="G327" s="55">
        <f>IF('04_DATA'!A324="","",IF('04_DATA'!D324&lt;PERCENTILE('04_DATA'!$D$2:$D$1001,0.05),"FLAG","ok"))</f>
        <v/>
      </c>
      <c r="H327" s="55">
        <f>IF('04_DATA'!A324="","",IF(OR(C327="EXCLUDE",F327="EXCLUDE"),"Exclude under pre-specified rule",IF(E327&gt;0.15,"Exclude: &gt;15% missing",IF(G327="FLAG","Retain; test in robustness battery","Retain"))))</f>
        <v/>
      </c>
    </row>
    <row r="328">
      <c r="A328" s="55" t="n">
        <v>325</v>
      </c>
      <c r="B328" s="55">
        <f>IF('04_DATA'!A325="","",'04_DATA'!A325)</f>
        <v/>
      </c>
      <c r="C328" s="55">
        <f>IF('04_DATA'!A325="","",IF(AND('04_DATA'!G325=1,'04_DATA'!H325=1,'04_DATA'!I325&gt;=3),"eligible","EXCLUDE"))</f>
        <v/>
      </c>
      <c r="D328" s="55">
        <f>IF('04_DATA'!A325="","",37-COUNT('04_DATA'!$K325:$AU325))</f>
        <v/>
      </c>
      <c r="E328" s="63">
        <f>IF('04_DATA'!A325="","",(37-COUNT('04_DATA'!$K325:$AU325))/37)</f>
        <v/>
      </c>
      <c r="F328" s="55">
        <f>IF('04_DATA'!A325="","",IF(AND(COUNT('04_DATA'!$K325:$AU325)=37,COUNTIF('04_DATA'!$K325:$AU325,INDEX('04_DATA'!$K325:$AU325,1))=37),"EXCLUDE","ok"))</f>
        <v/>
      </c>
      <c r="G328" s="55">
        <f>IF('04_DATA'!A325="","",IF('04_DATA'!D325&lt;PERCENTILE('04_DATA'!$D$2:$D$1001,0.05),"FLAG","ok"))</f>
        <v/>
      </c>
      <c r="H328" s="55">
        <f>IF('04_DATA'!A325="","",IF(OR(C328="EXCLUDE",F328="EXCLUDE"),"Exclude under pre-specified rule",IF(E328&gt;0.15,"Exclude: &gt;15% missing",IF(G328="FLAG","Retain; test in robustness battery","Retain"))))</f>
        <v/>
      </c>
    </row>
    <row r="329">
      <c r="A329" s="55" t="n">
        <v>326</v>
      </c>
      <c r="B329" s="55">
        <f>IF('04_DATA'!A326="","",'04_DATA'!A326)</f>
        <v/>
      </c>
      <c r="C329" s="55">
        <f>IF('04_DATA'!A326="","",IF(AND('04_DATA'!G326=1,'04_DATA'!H326=1,'04_DATA'!I326&gt;=3),"eligible","EXCLUDE"))</f>
        <v/>
      </c>
      <c r="D329" s="55">
        <f>IF('04_DATA'!A326="","",37-COUNT('04_DATA'!$K326:$AU326))</f>
        <v/>
      </c>
      <c r="E329" s="63">
        <f>IF('04_DATA'!A326="","",(37-COUNT('04_DATA'!$K326:$AU326))/37)</f>
        <v/>
      </c>
      <c r="F329" s="55">
        <f>IF('04_DATA'!A326="","",IF(AND(COUNT('04_DATA'!$K326:$AU326)=37,COUNTIF('04_DATA'!$K326:$AU326,INDEX('04_DATA'!$K326:$AU326,1))=37),"EXCLUDE","ok"))</f>
        <v/>
      </c>
      <c r="G329" s="55">
        <f>IF('04_DATA'!A326="","",IF('04_DATA'!D326&lt;PERCENTILE('04_DATA'!$D$2:$D$1001,0.05),"FLAG","ok"))</f>
        <v/>
      </c>
      <c r="H329" s="55">
        <f>IF('04_DATA'!A326="","",IF(OR(C329="EXCLUDE",F329="EXCLUDE"),"Exclude under pre-specified rule",IF(E329&gt;0.15,"Exclude: &gt;15% missing",IF(G329="FLAG","Retain; test in robustness battery","Retain"))))</f>
        <v/>
      </c>
    </row>
    <row r="330">
      <c r="A330" s="55" t="n">
        <v>327</v>
      </c>
      <c r="B330" s="55">
        <f>IF('04_DATA'!A327="","",'04_DATA'!A327)</f>
        <v/>
      </c>
      <c r="C330" s="55">
        <f>IF('04_DATA'!A327="","",IF(AND('04_DATA'!G327=1,'04_DATA'!H327=1,'04_DATA'!I327&gt;=3),"eligible","EXCLUDE"))</f>
        <v/>
      </c>
      <c r="D330" s="55">
        <f>IF('04_DATA'!A327="","",37-COUNT('04_DATA'!$K327:$AU327))</f>
        <v/>
      </c>
      <c r="E330" s="63">
        <f>IF('04_DATA'!A327="","",(37-COUNT('04_DATA'!$K327:$AU327))/37)</f>
        <v/>
      </c>
      <c r="F330" s="55">
        <f>IF('04_DATA'!A327="","",IF(AND(COUNT('04_DATA'!$K327:$AU327)=37,COUNTIF('04_DATA'!$K327:$AU327,INDEX('04_DATA'!$K327:$AU327,1))=37),"EXCLUDE","ok"))</f>
        <v/>
      </c>
      <c r="G330" s="55">
        <f>IF('04_DATA'!A327="","",IF('04_DATA'!D327&lt;PERCENTILE('04_DATA'!$D$2:$D$1001,0.05),"FLAG","ok"))</f>
        <v/>
      </c>
      <c r="H330" s="55">
        <f>IF('04_DATA'!A327="","",IF(OR(C330="EXCLUDE",F330="EXCLUDE"),"Exclude under pre-specified rule",IF(E330&gt;0.15,"Exclude: &gt;15% missing",IF(G330="FLAG","Retain; test in robustness battery","Retain"))))</f>
        <v/>
      </c>
    </row>
    <row r="331">
      <c r="A331" s="55" t="n">
        <v>328</v>
      </c>
      <c r="B331" s="55">
        <f>IF('04_DATA'!A328="","",'04_DATA'!A328)</f>
        <v/>
      </c>
      <c r="C331" s="55">
        <f>IF('04_DATA'!A328="","",IF(AND('04_DATA'!G328=1,'04_DATA'!H328=1,'04_DATA'!I328&gt;=3),"eligible","EXCLUDE"))</f>
        <v/>
      </c>
      <c r="D331" s="55">
        <f>IF('04_DATA'!A328="","",37-COUNT('04_DATA'!$K328:$AU328))</f>
        <v/>
      </c>
      <c r="E331" s="63">
        <f>IF('04_DATA'!A328="","",(37-COUNT('04_DATA'!$K328:$AU328))/37)</f>
        <v/>
      </c>
      <c r="F331" s="55">
        <f>IF('04_DATA'!A328="","",IF(AND(COUNT('04_DATA'!$K328:$AU328)=37,COUNTIF('04_DATA'!$K328:$AU328,INDEX('04_DATA'!$K328:$AU328,1))=37),"EXCLUDE","ok"))</f>
        <v/>
      </c>
      <c r="G331" s="55">
        <f>IF('04_DATA'!A328="","",IF('04_DATA'!D328&lt;PERCENTILE('04_DATA'!$D$2:$D$1001,0.05),"FLAG","ok"))</f>
        <v/>
      </c>
      <c r="H331" s="55">
        <f>IF('04_DATA'!A328="","",IF(OR(C331="EXCLUDE",F331="EXCLUDE"),"Exclude under pre-specified rule",IF(E331&gt;0.15,"Exclude: &gt;15% missing",IF(G331="FLAG","Retain; test in robustness battery","Retain"))))</f>
        <v/>
      </c>
    </row>
    <row r="332">
      <c r="A332" s="55" t="n">
        <v>329</v>
      </c>
      <c r="B332" s="55">
        <f>IF('04_DATA'!A329="","",'04_DATA'!A329)</f>
        <v/>
      </c>
      <c r="C332" s="55">
        <f>IF('04_DATA'!A329="","",IF(AND('04_DATA'!G329=1,'04_DATA'!H329=1,'04_DATA'!I329&gt;=3),"eligible","EXCLUDE"))</f>
        <v/>
      </c>
      <c r="D332" s="55">
        <f>IF('04_DATA'!A329="","",37-COUNT('04_DATA'!$K329:$AU329))</f>
        <v/>
      </c>
      <c r="E332" s="63">
        <f>IF('04_DATA'!A329="","",(37-COUNT('04_DATA'!$K329:$AU329))/37)</f>
        <v/>
      </c>
      <c r="F332" s="55">
        <f>IF('04_DATA'!A329="","",IF(AND(COUNT('04_DATA'!$K329:$AU329)=37,COUNTIF('04_DATA'!$K329:$AU329,INDEX('04_DATA'!$K329:$AU329,1))=37),"EXCLUDE","ok"))</f>
        <v/>
      </c>
      <c r="G332" s="55">
        <f>IF('04_DATA'!A329="","",IF('04_DATA'!D329&lt;PERCENTILE('04_DATA'!$D$2:$D$1001,0.05),"FLAG","ok"))</f>
        <v/>
      </c>
      <c r="H332" s="55">
        <f>IF('04_DATA'!A329="","",IF(OR(C332="EXCLUDE",F332="EXCLUDE"),"Exclude under pre-specified rule",IF(E332&gt;0.15,"Exclude: &gt;15% missing",IF(G332="FLAG","Retain; test in robustness battery","Retain"))))</f>
        <v/>
      </c>
    </row>
    <row r="333">
      <c r="A333" s="55" t="n">
        <v>330</v>
      </c>
      <c r="B333" s="55">
        <f>IF('04_DATA'!A330="","",'04_DATA'!A330)</f>
        <v/>
      </c>
      <c r="C333" s="55">
        <f>IF('04_DATA'!A330="","",IF(AND('04_DATA'!G330=1,'04_DATA'!H330=1,'04_DATA'!I330&gt;=3),"eligible","EXCLUDE"))</f>
        <v/>
      </c>
      <c r="D333" s="55">
        <f>IF('04_DATA'!A330="","",37-COUNT('04_DATA'!$K330:$AU330))</f>
        <v/>
      </c>
      <c r="E333" s="63">
        <f>IF('04_DATA'!A330="","",(37-COUNT('04_DATA'!$K330:$AU330))/37)</f>
        <v/>
      </c>
      <c r="F333" s="55">
        <f>IF('04_DATA'!A330="","",IF(AND(COUNT('04_DATA'!$K330:$AU330)=37,COUNTIF('04_DATA'!$K330:$AU330,INDEX('04_DATA'!$K330:$AU330,1))=37),"EXCLUDE","ok"))</f>
        <v/>
      </c>
      <c r="G333" s="55">
        <f>IF('04_DATA'!A330="","",IF('04_DATA'!D330&lt;PERCENTILE('04_DATA'!$D$2:$D$1001,0.05),"FLAG","ok"))</f>
        <v/>
      </c>
      <c r="H333" s="55">
        <f>IF('04_DATA'!A330="","",IF(OR(C333="EXCLUDE",F333="EXCLUDE"),"Exclude under pre-specified rule",IF(E333&gt;0.15,"Exclude: &gt;15% missing",IF(G333="FLAG","Retain; test in robustness battery","Retain"))))</f>
        <v/>
      </c>
    </row>
    <row r="334">
      <c r="A334" s="55" t="n">
        <v>331</v>
      </c>
      <c r="B334" s="55">
        <f>IF('04_DATA'!A331="","",'04_DATA'!A331)</f>
        <v/>
      </c>
      <c r="C334" s="55">
        <f>IF('04_DATA'!A331="","",IF(AND('04_DATA'!G331=1,'04_DATA'!H331=1,'04_DATA'!I331&gt;=3),"eligible","EXCLUDE"))</f>
        <v/>
      </c>
      <c r="D334" s="55">
        <f>IF('04_DATA'!A331="","",37-COUNT('04_DATA'!$K331:$AU331))</f>
        <v/>
      </c>
      <c r="E334" s="63">
        <f>IF('04_DATA'!A331="","",(37-COUNT('04_DATA'!$K331:$AU331))/37)</f>
        <v/>
      </c>
      <c r="F334" s="55">
        <f>IF('04_DATA'!A331="","",IF(AND(COUNT('04_DATA'!$K331:$AU331)=37,COUNTIF('04_DATA'!$K331:$AU331,INDEX('04_DATA'!$K331:$AU331,1))=37),"EXCLUDE","ok"))</f>
        <v/>
      </c>
      <c r="G334" s="55">
        <f>IF('04_DATA'!A331="","",IF('04_DATA'!D331&lt;PERCENTILE('04_DATA'!$D$2:$D$1001,0.05),"FLAG","ok"))</f>
        <v/>
      </c>
      <c r="H334" s="55">
        <f>IF('04_DATA'!A331="","",IF(OR(C334="EXCLUDE",F334="EXCLUDE"),"Exclude under pre-specified rule",IF(E334&gt;0.15,"Exclude: &gt;15% missing",IF(G334="FLAG","Retain; test in robustness battery","Retain"))))</f>
        <v/>
      </c>
    </row>
    <row r="335">
      <c r="A335" s="55" t="n">
        <v>332</v>
      </c>
      <c r="B335" s="55">
        <f>IF('04_DATA'!A332="","",'04_DATA'!A332)</f>
        <v/>
      </c>
      <c r="C335" s="55">
        <f>IF('04_DATA'!A332="","",IF(AND('04_DATA'!G332=1,'04_DATA'!H332=1,'04_DATA'!I332&gt;=3),"eligible","EXCLUDE"))</f>
        <v/>
      </c>
      <c r="D335" s="55">
        <f>IF('04_DATA'!A332="","",37-COUNT('04_DATA'!$K332:$AU332))</f>
        <v/>
      </c>
      <c r="E335" s="63">
        <f>IF('04_DATA'!A332="","",(37-COUNT('04_DATA'!$K332:$AU332))/37)</f>
        <v/>
      </c>
      <c r="F335" s="55">
        <f>IF('04_DATA'!A332="","",IF(AND(COUNT('04_DATA'!$K332:$AU332)=37,COUNTIF('04_DATA'!$K332:$AU332,INDEX('04_DATA'!$K332:$AU332,1))=37),"EXCLUDE","ok"))</f>
        <v/>
      </c>
      <c r="G335" s="55">
        <f>IF('04_DATA'!A332="","",IF('04_DATA'!D332&lt;PERCENTILE('04_DATA'!$D$2:$D$1001,0.05),"FLAG","ok"))</f>
        <v/>
      </c>
      <c r="H335" s="55">
        <f>IF('04_DATA'!A332="","",IF(OR(C335="EXCLUDE",F335="EXCLUDE"),"Exclude under pre-specified rule",IF(E335&gt;0.15,"Exclude: &gt;15% missing",IF(G335="FLAG","Retain; test in robustness battery","Retain"))))</f>
        <v/>
      </c>
    </row>
    <row r="336">
      <c r="A336" s="55" t="n">
        <v>333</v>
      </c>
      <c r="B336" s="55">
        <f>IF('04_DATA'!A333="","",'04_DATA'!A333)</f>
        <v/>
      </c>
      <c r="C336" s="55">
        <f>IF('04_DATA'!A333="","",IF(AND('04_DATA'!G333=1,'04_DATA'!H333=1,'04_DATA'!I333&gt;=3),"eligible","EXCLUDE"))</f>
        <v/>
      </c>
      <c r="D336" s="55">
        <f>IF('04_DATA'!A333="","",37-COUNT('04_DATA'!$K333:$AU333))</f>
        <v/>
      </c>
      <c r="E336" s="63">
        <f>IF('04_DATA'!A333="","",(37-COUNT('04_DATA'!$K333:$AU333))/37)</f>
        <v/>
      </c>
      <c r="F336" s="55">
        <f>IF('04_DATA'!A333="","",IF(AND(COUNT('04_DATA'!$K333:$AU333)=37,COUNTIF('04_DATA'!$K333:$AU333,INDEX('04_DATA'!$K333:$AU333,1))=37),"EXCLUDE","ok"))</f>
        <v/>
      </c>
      <c r="G336" s="55">
        <f>IF('04_DATA'!A333="","",IF('04_DATA'!D333&lt;PERCENTILE('04_DATA'!$D$2:$D$1001,0.05),"FLAG","ok"))</f>
        <v/>
      </c>
      <c r="H336" s="55">
        <f>IF('04_DATA'!A333="","",IF(OR(C336="EXCLUDE",F336="EXCLUDE"),"Exclude under pre-specified rule",IF(E336&gt;0.15,"Exclude: &gt;15% missing",IF(G336="FLAG","Retain; test in robustness battery","Retain"))))</f>
        <v/>
      </c>
    </row>
    <row r="337">
      <c r="A337" s="55" t="n">
        <v>334</v>
      </c>
      <c r="B337" s="55">
        <f>IF('04_DATA'!A334="","",'04_DATA'!A334)</f>
        <v/>
      </c>
      <c r="C337" s="55">
        <f>IF('04_DATA'!A334="","",IF(AND('04_DATA'!G334=1,'04_DATA'!H334=1,'04_DATA'!I334&gt;=3),"eligible","EXCLUDE"))</f>
        <v/>
      </c>
      <c r="D337" s="55">
        <f>IF('04_DATA'!A334="","",37-COUNT('04_DATA'!$K334:$AU334))</f>
        <v/>
      </c>
      <c r="E337" s="63">
        <f>IF('04_DATA'!A334="","",(37-COUNT('04_DATA'!$K334:$AU334))/37)</f>
        <v/>
      </c>
      <c r="F337" s="55">
        <f>IF('04_DATA'!A334="","",IF(AND(COUNT('04_DATA'!$K334:$AU334)=37,COUNTIF('04_DATA'!$K334:$AU334,INDEX('04_DATA'!$K334:$AU334,1))=37),"EXCLUDE","ok"))</f>
        <v/>
      </c>
      <c r="G337" s="55">
        <f>IF('04_DATA'!A334="","",IF('04_DATA'!D334&lt;PERCENTILE('04_DATA'!$D$2:$D$1001,0.05),"FLAG","ok"))</f>
        <v/>
      </c>
      <c r="H337" s="55">
        <f>IF('04_DATA'!A334="","",IF(OR(C337="EXCLUDE",F337="EXCLUDE"),"Exclude under pre-specified rule",IF(E337&gt;0.15,"Exclude: &gt;15% missing",IF(G337="FLAG","Retain; test in robustness battery","Retain"))))</f>
        <v/>
      </c>
    </row>
    <row r="338">
      <c r="A338" s="55" t="n">
        <v>335</v>
      </c>
      <c r="B338" s="55">
        <f>IF('04_DATA'!A335="","",'04_DATA'!A335)</f>
        <v/>
      </c>
      <c r="C338" s="55">
        <f>IF('04_DATA'!A335="","",IF(AND('04_DATA'!G335=1,'04_DATA'!H335=1,'04_DATA'!I335&gt;=3),"eligible","EXCLUDE"))</f>
        <v/>
      </c>
      <c r="D338" s="55">
        <f>IF('04_DATA'!A335="","",37-COUNT('04_DATA'!$K335:$AU335))</f>
        <v/>
      </c>
      <c r="E338" s="63">
        <f>IF('04_DATA'!A335="","",(37-COUNT('04_DATA'!$K335:$AU335))/37)</f>
        <v/>
      </c>
      <c r="F338" s="55">
        <f>IF('04_DATA'!A335="","",IF(AND(COUNT('04_DATA'!$K335:$AU335)=37,COUNTIF('04_DATA'!$K335:$AU335,INDEX('04_DATA'!$K335:$AU335,1))=37),"EXCLUDE","ok"))</f>
        <v/>
      </c>
      <c r="G338" s="55">
        <f>IF('04_DATA'!A335="","",IF('04_DATA'!D335&lt;PERCENTILE('04_DATA'!$D$2:$D$1001,0.05),"FLAG","ok"))</f>
        <v/>
      </c>
      <c r="H338" s="55">
        <f>IF('04_DATA'!A335="","",IF(OR(C338="EXCLUDE",F338="EXCLUDE"),"Exclude under pre-specified rule",IF(E338&gt;0.15,"Exclude: &gt;15% missing",IF(G338="FLAG","Retain; test in robustness battery","Retain"))))</f>
        <v/>
      </c>
    </row>
    <row r="339">
      <c r="A339" s="55" t="n">
        <v>336</v>
      </c>
      <c r="B339" s="55">
        <f>IF('04_DATA'!A336="","",'04_DATA'!A336)</f>
        <v/>
      </c>
      <c r="C339" s="55">
        <f>IF('04_DATA'!A336="","",IF(AND('04_DATA'!G336=1,'04_DATA'!H336=1,'04_DATA'!I336&gt;=3),"eligible","EXCLUDE"))</f>
        <v/>
      </c>
      <c r="D339" s="55">
        <f>IF('04_DATA'!A336="","",37-COUNT('04_DATA'!$K336:$AU336))</f>
        <v/>
      </c>
      <c r="E339" s="63">
        <f>IF('04_DATA'!A336="","",(37-COUNT('04_DATA'!$K336:$AU336))/37)</f>
        <v/>
      </c>
      <c r="F339" s="55">
        <f>IF('04_DATA'!A336="","",IF(AND(COUNT('04_DATA'!$K336:$AU336)=37,COUNTIF('04_DATA'!$K336:$AU336,INDEX('04_DATA'!$K336:$AU336,1))=37),"EXCLUDE","ok"))</f>
        <v/>
      </c>
      <c r="G339" s="55">
        <f>IF('04_DATA'!A336="","",IF('04_DATA'!D336&lt;PERCENTILE('04_DATA'!$D$2:$D$1001,0.05),"FLAG","ok"))</f>
        <v/>
      </c>
      <c r="H339" s="55">
        <f>IF('04_DATA'!A336="","",IF(OR(C339="EXCLUDE",F339="EXCLUDE"),"Exclude under pre-specified rule",IF(E339&gt;0.15,"Exclude: &gt;15% missing",IF(G339="FLAG","Retain; test in robustness battery","Retain"))))</f>
        <v/>
      </c>
    </row>
    <row r="340">
      <c r="A340" s="55" t="n">
        <v>337</v>
      </c>
      <c r="B340" s="55">
        <f>IF('04_DATA'!A337="","",'04_DATA'!A337)</f>
        <v/>
      </c>
      <c r="C340" s="55">
        <f>IF('04_DATA'!A337="","",IF(AND('04_DATA'!G337=1,'04_DATA'!H337=1,'04_DATA'!I337&gt;=3),"eligible","EXCLUDE"))</f>
        <v/>
      </c>
      <c r="D340" s="55">
        <f>IF('04_DATA'!A337="","",37-COUNT('04_DATA'!$K337:$AU337))</f>
        <v/>
      </c>
      <c r="E340" s="63">
        <f>IF('04_DATA'!A337="","",(37-COUNT('04_DATA'!$K337:$AU337))/37)</f>
        <v/>
      </c>
      <c r="F340" s="55">
        <f>IF('04_DATA'!A337="","",IF(AND(COUNT('04_DATA'!$K337:$AU337)=37,COUNTIF('04_DATA'!$K337:$AU337,INDEX('04_DATA'!$K337:$AU337,1))=37),"EXCLUDE","ok"))</f>
        <v/>
      </c>
      <c r="G340" s="55">
        <f>IF('04_DATA'!A337="","",IF('04_DATA'!D337&lt;PERCENTILE('04_DATA'!$D$2:$D$1001,0.05),"FLAG","ok"))</f>
        <v/>
      </c>
      <c r="H340" s="55">
        <f>IF('04_DATA'!A337="","",IF(OR(C340="EXCLUDE",F340="EXCLUDE"),"Exclude under pre-specified rule",IF(E340&gt;0.15,"Exclude: &gt;15% missing",IF(G340="FLAG","Retain; test in robustness battery","Retain"))))</f>
        <v/>
      </c>
    </row>
    <row r="341">
      <c r="A341" s="55" t="n">
        <v>338</v>
      </c>
      <c r="B341" s="55">
        <f>IF('04_DATA'!A338="","",'04_DATA'!A338)</f>
        <v/>
      </c>
      <c r="C341" s="55">
        <f>IF('04_DATA'!A338="","",IF(AND('04_DATA'!G338=1,'04_DATA'!H338=1,'04_DATA'!I338&gt;=3),"eligible","EXCLUDE"))</f>
        <v/>
      </c>
      <c r="D341" s="55">
        <f>IF('04_DATA'!A338="","",37-COUNT('04_DATA'!$K338:$AU338))</f>
        <v/>
      </c>
      <c r="E341" s="63">
        <f>IF('04_DATA'!A338="","",(37-COUNT('04_DATA'!$K338:$AU338))/37)</f>
        <v/>
      </c>
      <c r="F341" s="55">
        <f>IF('04_DATA'!A338="","",IF(AND(COUNT('04_DATA'!$K338:$AU338)=37,COUNTIF('04_DATA'!$K338:$AU338,INDEX('04_DATA'!$K338:$AU338,1))=37),"EXCLUDE","ok"))</f>
        <v/>
      </c>
      <c r="G341" s="55">
        <f>IF('04_DATA'!A338="","",IF('04_DATA'!D338&lt;PERCENTILE('04_DATA'!$D$2:$D$1001,0.05),"FLAG","ok"))</f>
        <v/>
      </c>
      <c r="H341" s="55">
        <f>IF('04_DATA'!A338="","",IF(OR(C341="EXCLUDE",F341="EXCLUDE"),"Exclude under pre-specified rule",IF(E341&gt;0.15,"Exclude: &gt;15% missing",IF(G341="FLAG","Retain; test in robustness battery","Retain"))))</f>
        <v/>
      </c>
    </row>
    <row r="342">
      <c r="A342" s="55" t="n">
        <v>339</v>
      </c>
      <c r="B342" s="55">
        <f>IF('04_DATA'!A339="","",'04_DATA'!A339)</f>
        <v/>
      </c>
      <c r="C342" s="55">
        <f>IF('04_DATA'!A339="","",IF(AND('04_DATA'!G339=1,'04_DATA'!H339=1,'04_DATA'!I339&gt;=3),"eligible","EXCLUDE"))</f>
        <v/>
      </c>
      <c r="D342" s="55">
        <f>IF('04_DATA'!A339="","",37-COUNT('04_DATA'!$K339:$AU339))</f>
        <v/>
      </c>
      <c r="E342" s="63">
        <f>IF('04_DATA'!A339="","",(37-COUNT('04_DATA'!$K339:$AU339))/37)</f>
        <v/>
      </c>
      <c r="F342" s="55">
        <f>IF('04_DATA'!A339="","",IF(AND(COUNT('04_DATA'!$K339:$AU339)=37,COUNTIF('04_DATA'!$K339:$AU339,INDEX('04_DATA'!$K339:$AU339,1))=37),"EXCLUDE","ok"))</f>
        <v/>
      </c>
      <c r="G342" s="55">
        <f>IF('04_DATA'!A339="","",IF('04_DATA'!D339&lt;PERCENTILE('04_DATA'!$D$2:$D$1001,0.05),"FLAG","ok"))</f>
        <v/>
      </c>
      <c r="H342" s="55">
        <f>IF('04_DATA'!A339="","",IF(OR(C342="EXCLUDE",F342="EXCLUDE"),"Exclude under pre-specified rule",IF(E342&gt;0.15,"Exclude: &gt;15% missing",IF(G342="FLAG","Retain; test in robustness battery","Retain"))))</f>
        <v/>
      </c>
    </row>
    <row r="343">
      <c r="A343" s="55" t="n">
        <v>340</v>
      </c>
      <c r="B343" s="55">
        <f>IF('04_DATA'!A340="","",'04_DATA'!A340)</f>
        <v/>
      </c>
      <c r="C343" s="55">
        <f>IF('04_DATA'!A340="","",IF(AND('04_DATA'!G340=1,'04_DATA'!H340=1,'04_DATA'!I340&gt;=3),"eligible","EXCLUDE"))</f>
        <v/>
      </c>
      <c r="D343" s="55">
        <f>IF('04_DATA'!A340="","",37-COUNT('04_DATA'!$K340:$AU340))</f>
        <v/>
      </c>
      <c r="E343" s="63">
        <f>IF('04_DATA'!A340="","",(37-COUNT('04_DATA'!$K340:$AU340))/37)</f>
        <v/>
      </c>
      <c r="F343" s="55">
        <f>IF('04_DATA'!A340="","",IF(AND(COUNT('04_DATA'!$K340:$AU340)=37,COUNTIF('04_DATA'!$K340:$AU340,INDEX('04_DATA'!$K340:$AU340,1))=37),"EXCLUDE","ok"))</f>
        <v/>
      </c>
      <c r="G343" s="55">
        <f>IF('04_DATA'!A340="","",IF('04_DATA'!D340&lt;PERCENTILE('04_DATA'!$D$2:$D$1001,0.05),"FLAG","ok"))</f>
        <v/>
      </c>
      <c r="H343" s="55">
        <f>IF('04_DATA'!A340="","",IF(OR(C343="EXCLUDE",F343="EXCLUDE"),"Exclude under pre-specified rule",IF(E343&gt;0.15,"Exclude: &gt;15% missing",IF(G343="FLAG","Retain; test in robustness battery","Retain"))))</f>
        <v/>
      </c>
    </row>
    <row r="344">
      <c r="A344" s="55" t="n">
        <v>341</v>
      </c>
      <c r="B344" s="55">
        <f>IF('04_DATA'!A341="","",'04_DATA'!A341)</f>
        <v/>
      </c>
      <c r="C344" s="55">
        <f>IF('04_DATA'!A341="","",IF(AND('04_DATA'!G341=1,'04_DATA'!H341=1,'04_DATA'!I341&gt;=3),"eligible","EXCLUDE"))</f>
        <v/>
      </c>
      <c r="D344" s="55">
        <f>IF('04_DATA'!A341="","",37-COUNT('04_DATA'!$K341:$AU341))</f>
        <v/>
      </c>
      <c r="E344" s="63">
        <f>IF('04_DATA'!A341="","",(37-COUNT('04_DATA'!$K341:$AU341))/37)</f>
        <v/>
      </c>
      <c r="F344" s="55">
        <f>IF('04_DATA'!A341="","",IF(AND(COUNT('04_DATA'!$K341:$AU341)=37,COUNTIF('04_DATA'!$K341:$AU341,INDEX('04_DATA'!$K341:$AU341,1))=37),"EXCLUDE","ok"))</f>
        <v/>
      </c>
      <c r="G344" s="55">
        <f>IF('04_DATA'!A341="","",IF('04_DATA'!D341&lt;PERCENTILE('04_DATA'!$D$2:$D$1001,0.05),"FLAG","ok"))</f>
        <v/>
      </c>
      <c r="H344" s="55">
        <f>IF('04_DATA'!A341="","",IF(OR(C344="EXCLUDE",F344="EXCLUDE"),"Exclude under pre-specified rule",IF(E344&gt;0.15,"Exclude: &gt;15% missing",IF(G344="FLAG","Retain; test in robustness battery","Retain"))))</f>
        <v/>
      </c>
    </row>
    <row r="345">
      <c r="A345" s="55" t="n">
        <v>342</v>
      </c>
      <c r="B345" s="55">
        <f>IF('04_DATA'!A342="","",'04_DATA'!A342)</f>
        <v/>
      </c>
      <c r="C345" s="55">
        <f>IF('04_DATA'!A342="","",IF(AND('04_DATA'!G342=1,'04_DATA'!H342=1,'04_DATA'!I342&gt;=3),"eligible","EXCLUDE"))</f>
        <v/>
      </c>
      <c r="D345" s="55">
        <f>IF('04_DATA'!A342="","",37-COUNT('04_DATA'!$K342:$AU342))</f>
        <v/>
      </c>
      <c r="E345" s="63">
        <f>IF('04_DATA'!A342="","",(37-COUNT('04_DATA'!$K342:$AU342))/37)</f>
        <v/>
      </c>
      <c r="F345" s="55">
        <f>IF('04_DATA'!A342="","",IF(AND(COUNT('04_DATA'!$K342:$AU342)=37,COUNTIF('04_DATA'!$K342:$AU342,INDEX('04_DATA'!$K342:$AU342,1))=37),"EXCLUDE","ok"))</f>
        <v/>
      </c>
      <c r="G345" s="55">
        <f>IF('04_DATA'!A342="","",IF('04_DATA'!D342&lt;PERCENTILE('04_DATA'!$D$2:$D$1001,0.05),"FLAG","ok"))</f>
        <v/>
      </c>
      <c r="H345" s="55">
        <f>IF('04_DATA'!A342="","",IF(OR(C345="EXCLUDE",F345="EXCLUDE"),"Exclude under pre-specified rule",IF(E345&gt;0.15,"Exclude: &gt;15% missing",IF(G345="FLAG","Retain; test in robustness battery","Retain"))))</f>
        <v/>
      </c>
    </row>
    <row r="346">
      <c r="A346" s="55" t="n">
        <v>343</v>
      </c>
      <c r="B346" s="55">
        <f>IF('04_DATA'!A343="","",'04_DATA'!A343)</f>
        <v/>
      </c>
      <c r="C346" s="55">
        <f>IF('04_DATA'!A343="","",IF(AND('04_DATA'!G343=1,'04_DATA'!H343=1,'04_DATA'!I343&gt;=3),"eligible","EXCLUDE"))</f>
        <v/>
      </c>
      <c r="D346" s="55">
        <f>IF('04_DATA'!A343="","",37-COUNT('04_DATA'!$K343:$AU343))</f>
        <v/>
      </c>
      <c r="E346" s="63">
        <f>IF('04_DATA'!A343="","",(37-COUNT('04_DATA'!$K343:$AU343))/37)</f>
        <v/>
      </c>
      <c r="F346" s="55">
        <f>IF('04_DATA'!A343="","",IF(AND(COUNT('04_DATA'!$K343:$AU343)=37,COUNTIF('04_DATA'!$K343:$AU343,INDEX('04_DATA'!$K343:$AU343,1))=37),"EXCLUDE","ok"))</f>
        <v/>
      </c>
      <c r="G346" s="55">
        <f>IF('04_DATA'!A343="","",IF('04_DATA'!D343&lt;PERCENTILE('04_DATA'!$D$2:$D$1001,0.05),"FLAG","ok"))</f>
        <v/>
      </c>
      <c r="H346" s="55">
        <f>IF('04_DATA'!A343="","",IF(OR(C346="EXCLUDE",F346="EXCLUDE"),"Exclude under pre-specified rule",IF(E346&gt;0.15,"Exclude: &gt;15% missing",IF(G346="FLAG","Retain; test in robustness battery","Retain"))))</f>
        <v/>
      </c>
    </row>
    <row r="347">
      <c r="A347" s="55" t="n">
        <v>344</v>
      </c>
      <c r="B347" s="55">
        <f>IF('04_DATA'!A344="","",'04_DATA'!A344)</f>
        <v/>
      </c>
      <c r="C347" s="55">
        <f>IF('04_DATA'!A344="","",IF(AND('04_DATA'!G344=1,'04_DATA'!H344=1,'04_DATA'!I344&gt;=3),"eligible","EXCLUDE"))</f>
        <v/>
      </c>
      <c r="D347" s="55">
        <f>IF('04_DATA'!A344="","",37-COUNT('04_DATA'!$K344:$AU344))</f>
        <v/>
      </c>
      <c r="E347" s="63">
        <f>IF('04_DATA'!A344="","",(37-COUNT('04_DATA'!$K344:$AU344))/37)</f>
        <v/>
      </c>
      <c r="F347" s="55">
        <f>IF('04_DATA'!A344="","",IF(AND(COUNT('04_DATA'!$K344:$AU344)=37,COUNTIF('04_DATA'!$K344:$AU344,INDEX('04_DATA'!$K344:$AU344,1))=37),"EXCLUDE","ok"))</f>
        <v/>
      </c>
      <c r="G347" s="55">
        <f>IF('04_DATA'!A344="","",IF('04_DATA'!D344&lt;PERCENTILE('04_DATA'!$D$2:$D$1001,0.05),"FLAG","ok"))</f>
        <v/>
      </c>
      <c r="H347" s="55">
        <f>IF('04_DATA'!A344="","",IF(OR(C347="EXCLUDE",F347="EXCLUDE"),"Exclude under pre-specified rule",IF(E347&gt;0.15,"Exclude: &gt;15% missing",IF(G347="FLAG","Retain; test in robustness battery","Retain"))))</f>
        <v/>
      </c>
    </row>
    <row r="348">
      <c r="A348" s="55" t="n">
        <v>345</v>
      </c>
      <c r="B348" s="55">
        <f>IF('04_DATA'!A345="","",'04_DATA'!A345)</f>
        <v/>
      </c>
      <c r="C348" s="55">
        <f>IF('04_DATA'!A345="","",IF(AND('04_DATA'!G345=1,'04_DATA'!H345=1,'04_DATA'!I345&gt;=3),"eligible","EXCLUDE"))</f>
        <v/>
      </c>
      <c r="D348" s="55">
        <f>IF('04_DATA'!A345="","",37-COUNT('04_DATA'!$K345:$AU345))</f>
        <v/>
      </c>
      <c r="E348" s="63">
        <f>IF('04_DATA'!A345="","",(37-COUNT('04_DATA'!$K345:$AU345))/37)</f>
        <v/>
      </c>
      <c r="F348" s="55">
        <f>IF('04_DATA'!A345="","",IF(AND(COUNT('04_DATA'!$K345:$AU345)=37,COUNTIF('04_DATA'!$K345:$AU345,INDEX('04_DATA'!$K345:$AU345,1))=37),"EXCLUDE","ok"))</f>
        <v/>
      </c>
      <c r="G348" s="55">
        <f>IF('04_DATA'!A345="","",IF('04_DATA'!D345&lt;PERCENTILE('04_DATA'!$D$2:$D$1001,0.05),"FLAG","ok"))</f>
        <v/>
      </c>
      <c r="H348" s="55">
        <f>IF('04_DATA'!A345="","",IF(OR(C348="EXCLUDE",F348="EXCLUDE"),"Exclude under pre-specified rule",IF(E348&gt;0.15,"Exclude: &gt;15% missing",IF(G348="FLAG","Retain; test in robustness battery","Retain"))))</f>
        <v/>
      </c>
    </row>
    <row r="349">
      <c r="A349" s="55" t="n">
        <v>346</v>
      </c>
      <c r="B349" s="55">
        <f>IF('04_DATA'!A346="","",'04_DATA'!A346)</f>
        <v/>
      </c>
      <c r="C349" s="55">
        <f>IF('04_DATA'!A346="","",IF(AND('04_DATA'!G346=1,'04_DATA'!H346=1,'04_DATA'!I346&gt;=3),"eligible","EXCLUDE"))</f>
        <v/>
      </c>
      <c r="D349" s="55">
        <f>IF('04_DATA'!A346="","",37-COUNT('04_DATA'!$K346:$AU346))</f>
        <v/>
      </c>
      <c r="E349" s="63">
        <f>IF('04_DATA'!A346="","",(37-COUNT('04_DATA'!$K346:$AU346))/37)</f>
        <v/>
      </c>
      <c r="F349" s="55">
        <f>IF('04_DATA'!A346="","",IF(AND(COUNT('04_DATA'!$K346:$AU346)=37,COUNTIF('04_DATA'!$K346:$AU346,INDEX('04_DATA'!$K346:$AU346,1))=37),"EXCLUDE","ok"))</f>
        <v/>
      </c>
      <c r="G349" s="55">
        <f>IF('04_DATA'!A346="","",IF('04_DATA'!D346&lt;PERCENTILE('04_DATA'!$D$2:$D$1001,0.05),"FLAG","ok"))</f>
        <v/>
      </c>
      <c r="H349" s="55">
        <f>IF('04_DATA'!A346="","",IF(OR(C349="EXCLUDE",F349="EXCLUDE"),"Exclude under pre-specified rule",IF(E349&gt;0.15,"Exclude: &gt;15% missing",IF(G349="FLAG","Retain; test in robustness battery","Retain"))))</f>
        <v/>
      </c>
    </row>
    <row r="350">
      <c r="A350" s="55" t="n">
        <v>347</v>
      </c>
      <c r="B350" s="55">
        <f>IF('04_DATA'!A347="","",'04_DATA'!A347)</f>
        <v/>
      </c>
      <c r="C350" s="55">
        <f>IF('04_DATA'!A347="","",IF(AND('04_DATA'!G347=1,'04_DATA'!H347=1,'04_DATA'!I347&gt;=3),"eligible","EXCLUDE"))</f>
        <v/>
      </c>
      <c r="D350" s="55">
        <f>IF('04_DATA'!A347="","",37-COUNT('04_DATA'!$K347:$AU347))</f>
        <v/>
      </c>
      <c r="E350" s="63">
        <f>IF('04_DATA'!A347="","",(37-COUNT('04_DATA'!$K347:$AU347))/37)</f>
        <v/>
      </c>
      <c r="F350" s="55">
        <f>IF('04_DATA'!A347="","",IF(AND(COUNT('04_DATA'!$K347:$AU347)=37,COUNTIF('04_DATA'!$K347:$AU347,INDEX('04_DATA'!$K347:$AU347,1))=37),"EXCLUDE","ok"))</f>
        <v/>
      </c>
      <c r="G350" s="55">
        <f>IF('04_DATA'!A347="","",IF('04_DATA'!D347&lt;PERCENTILE('04_DATA'!$D$2:$D$1001,0.05),"FLAG","ok"))</f>
        <v/>
      </c>
      <c r="H350" s="55">
        <f>IF('04_DATA'!A347="","",IF(OR(C350="EXCLUDE",F350="EXCLUDE"),"Exclude under pre-specified rule",IF(E350&gt;0.15,"Exclude: &gt;15% missing",IF(G350="FLAG","Retain; test in robustness battery","Retain"))))</f>
        <v/>
      </c>
    </row>
    <row r="351">
      <c r="A351" s="55" t="n">
        <v>348</v>
      </c>
      <c r="B351" s="55">
        <f>IF('04_DATA'!A348="","",'04_DATA'!A348)</f>
        <v/>
      </c>
      <c r="C351" s="55">
        <f>IF('04_DATA'!A348="","",IF(AND('04_DATA'!G348=1,'04_DATA'!H348=1,'04_DATA'!I348&gt;=3),"eligible","EXCLUDE"))</f>
        <v/>
      </c>
      <c r="D351" s="55">
        <f>IF('04_DATA'!A348="","",37-COUNT('04_DATA'!$K348:$AU348))</f>
        <v/>
      </c>
      <c r="E351" s="63">
        <f>IF('04_DATA'!A348="","",(37-COUNT('04_DATA'!$K348:$AU348))/37)</f>
        <v/>
      </c>
      <c r="F351" s="55">
        <f>IF('04_DATA'!A348="","",IF(AND(COUNT('04_DATA'!$K348:$AU348)=37,COUNTIF('04_DATA'!$K348:$AU348,INDEX('04_DATA'!$K348:$AU348,1))=37),"EXCLUDE","ok"))</f>
        <v/>
      </c>
      <c r="G351" s="55">
        <f>IF('04_DATA'!A348="","",IF('04_DATA'!D348&lt;PERCENTILE('04_DATA'!$D$2:$D$1001,0.05),"FLAG","ok"))</f>
        <v/>
      </c>
      <c r="H351" s="55">
        <f>IF('04_DATA'!A348="","",IF(OR(C351="EXCLUDE",F351="EXCLUDE"),"Exclude under pre-specified rule",IF(E351&gt;0.15,"Exclude: &gt;15% missing",IF(G351="FLAG","Retain; test in robustness battery","Retain"))))</f>
        <v/>
      </c>
    </row>
    <row r="352">
      <c r="A352" s="55" t="n">
        <v>349</v>
      </c>
      <c r="B352" s="55">
        <f>IF('04_DATA'!A349="","",'04_DATA'!A349)</f>
        <v/>
      </c>
      <c r="C352" s="55">
        <f>IF('04_DATA'!A349="","",IF(AND('04_DATA'!G349=1,'04_DATA'!H349=1,'04_DATA'!I349&gt;=3),"eligible","EXCLUDE"))</f>
        <v/>
      </c>
      <c r="D352" s="55">
        <f>IF('04_DATA'!A349="","",37-COUNT('04_DATA'!$K349:$AU349))</f>
        <v/>
      </c>
      <c r="E352" s="63">
        <f>IF('04_DATA'!A349="","",(37-COUNT('04_DATA'!$K349:$AU349))/37)</f>
        <v/>
      </c>
      <c r="F352" s="55">
        <f>IF('04_DATA'!A349="","",IF(AND(COUNT('04_DATA'!$K349:$AU349)=37,COUNTIF('04_DATA'!$K349:$AU349,INDEX('04_DATA'!$K349:$AU349,1))=37),"EXCLUDE","ok"))</f>
        <v/>
      </c>
      <c r="G352" s="55">
        <f>IF('04_DATA'!A349="","",IF('04_DATA'!D349&lt;PERCENTILE('04_DATA'!$D$2:$D$1001,0.05),"FLAG","ok"))</f>
        <v/>
      </c>
      <c r="H352" s="55">
        <f>IF('04_DATA'!A349="","",IF(OR(C352="EXCLUDE",F352="EXCLUDE"),"Exclude under pre-specified rule",IF(E352&gt;0.15,"Exclude: &gt;15% missing",IF(G352="FLAG","Retain; test in robustness battery","Retain"))))</f>
        <v/>
      </c>
    </row>
    <row r="353">
      <c r="A353" s="55" t="n">
        <v>350</v>
      </c>
      <c r="B353" s="55">
        <f>IF('04_DATA'!A350="","",'04_DATA'!A350)</f>
        <v/>
      </c>
      <c r="C353" s="55">
        <f>IF('04_DATA'!A350="","",IF(AND('04_DATA'!G350=1,'04_DATA'!H350=1,'04_DATA'!I350&gt;=3),"eligible","EXCLUDE"))</f>
        <v/>
      </c>
      <c r="D353" s="55">
        <f>IF('04_DATA'!A350="","",37-COUNT('04_DATA'!$K350:$AU350))</f>
        <v/>
      </c>
      <c r="E353" s="63">
        <f>IF('04_DATA'!A350="","",(37-COUNT('04_DATA'!$K350:$AU350))/37)</f>
        <v/>
      </c>
      <c r="F353" s="55">
        <f>IF('04_DATA'!A350="","",IF(AND(COUNT('04_DATA'!$K350:$AU350)=37,COUNTIF('04_DATA'!$K350:$AU350,INDEX('04_DATA'!$K350:$AU350,1))=37),"EXCLUDE","ok"))</f>
        <v/>
      </c>
      <c r="G353" s="55">
        <f>IF('04_DATA'!A350="","",IF('04_DATA'!D350&lt;PERCENTILE('04_DATA'!$D$2:$D$1001,0.05),"FLAG","ok"))</f>
        <v/>
      </c>
      <c r="H353" s="55">
        <f>IF('04_DATA'!A350="","",IF(OR(C353="EXCLUDE",F353="EXCLUDE"),"Exclude under pre-specified rule",IF(E353&gt;0.15,"Exclude: &gt;15% missing",IF(G353="FLAG","Retain; test in robustness battery","Retain"))))</f>
        <v/>
      </c>
    </row>
    <row r="354">
      <c r="A354" s="55" t="n">
        <v>351</v>
      </c>
      <c r="B354" s="55">
        <f>IF('04_DATA'!A351="","",'04_DATA'!A351)</f>
        <v/>
      </c>
      <c r="C354" s="55">
        <f>IF('04_DATA'!A351="","",IF(AND('04_DATA'!G351=1,'04_DATA'!H351=1,'04_DATA'!I351&gt;=3),"eligible","EXCLUDE"))</f>
        <v/>
      </c>
      <c r="D354" s="55">
        <f>IF('04_DATA'!A351="","",37-COUNT('04_DATA'!$K351:$AU351))</f>
        <v/>
      </c>
      <c r="E354" s="63">
        <f>IF('04_DATA'!A351="","",(37-COUNT('04_DATA'!$K351:$AU351))/37)</f>
        <v/>
      </c>
      <c r="F354" s="55">
        <f>IF('04_DATA'!A351="","",IF(AND(COUNT('04_DATA'!$K351:$AU351)=37,COUNTIF('04_DATA'!$K351:$AU351,INDEX('04_DATA'!$K351:$AU351,1))=37),"EXCLUDE","ok"))</f>
        <v/>
      </c>
      <c r="G354" s="55">
        <f>IF('04_DATA'!A351="","",IF('04_DATA'!D351&lt;PERCENTILE('04_DATA'!$D$2:$D$1001,0.05),"FLAG","ok"))</f>
        <v/>
      </c>
      <c r="H354" s="55">
        <f>IF('04_DATA'!A351="","",IF(OR(C354="EXCLUDE",F354="EXCLUDE"),"Exclude under pre-specified rule",IF(E354&gt;0.15,"Exclude: &gt;15% missing",IF(G354="FLAG","Retain; test in robustness battery","Retain"))))</f>
        <v/>
      </c>
    </row>
    <row r="355">
      <c r="A355" s="55" t="n">
        <v>352</v>
      </c>
      <c r="B355" s="55">
        <f>IF('04_DATA'!A352="","",'04_DATA'!A352)</f>
        <v/>
      </c>
      <c r="C355" s="55">
        <f>IF('04_DATA'!A352="","",IF(AND('04_DATA'!G352=1,'04_DATA'!H352=1,'04_DATA'!I352&gt;=3),"eligible","EXCLUDE"))</f>
        <v/>
      </c>
      <c r="D355" s="55">
        <f>IF('04_DATA'!A352="","",37-COUNT('04_DATA'!$K352:$AU352))</f>
        <v/>
      </c>
      <c r="E355" s="63">
        <f>IF('04_DATA'!A352="","",(37-COUNT('04_DATA'!$K352:$AU352))/37)</f>
        <v/>
      </c>
      <c r="F355" s="55">
        <f>IF('04_DATA'!A352="","",IF(AND(COUNT('04_DATA'!$K352:$AU352)=37,COUNTIF('04_DATA'!$K352:$AU352,INDEX('04_DATA'!$K352:$AU352,1))=37),"EXCLUDE","ok"))</f>
        <v/>
      </c>
      <c r="G355" s="55">
        <f>IF('04_DATA'!A352="","",IF('04_DATA'!D352&lt;PERCENTILE('04_DATA'!$D$2:$D$1001,0.05),"FLAG","ok"))</f>
        <v/>
      </c>
      <c r="H355" s="55">
        <f>IF('04_DATA'!A352="","",IF(OR(C355="EXCLUDE",F355="EXCLUDE"),"Exclude under pre-specified rule",IF(E355&gt;0.15,"Exclude: &gt;15% missing",IF(G355="FLAG","Retain; test in robustness battery","Retain"))))</f>
        <v/>
      </c>
    </row>
    <row r="356">
      <c r="A356" s="55" t="n">
        <v>353</v>
      </c>
      <c r="B356" s="55">
        <f>IF('04_DATA'!A353="","",'04_DATA'!A353)</f>
        <v/>
      </c>
      <c r="C356" s="55">
        <f>IF('04_DATA'!A353="","",IF(AND('04_DATA'!G353=1,'04_DATA'!H353=1,'04_DATA'!I353&gt;=3),"eligible","EXCLUDE"))</f>
        <v/>
      </c>
      <c r="D356" s="55">
        <f>IF('04_DATA'!A353="","",37-COUNT('04_DATA'!$K353:$AU353))</f>
        <v/>
      </c>
      <c r="E356" s="63">
        <f>IF('04_DATA'!A353="","",(37-COUNT('04_DATA'!$K353:$AU353))/37)</f>
        <v/>
      </c>
      <c r="F356" s="55">
        <f>IF('04_DATA'!A353="","",IF(AND(COUNT('04_DATA'!$K353:$AU353)=37,COUNTIF('04_DATA'!$K353:$AU353,INDEX('04_DATA'!$K353:$AU353,1))=37),"EXCLUDE","ok"))</f>
        <v/>
      </c>
      <c r="G356" s="55">
        <f>IF('04_DATA'!A353="","",IF('04_DATA'!D353&lt;PERCENTILE('04_DATA'!$D$2:$D$1001,0.05),"FLAG","ok"))</f>
        <v/>
      </c>
      <c r="H356" s="55">
        <f>IF('04_DATA'!A353="","",IF(OR(C356="EXCLUDE",F356="EXCLUDE"),"Exclude under pre-specified rule",IF(E356&gt;0.15,"Exclude: &gt;15% missing",IF(G356="FLAG","Retain; test in robustness battery","Retain"))))</f>
        <v/>
      </c>
    </row>
    <row r="357">
      <c r="A357" s="55" t="n">
        <v>354</v>
      </c>
      <c r="B357" s="55">
        <f>IF('04_DATA'!A354="","",'04_DATA'!A354)</f>
        <v/>
      </c>
      <c r="C357" s="55">
        <f>IF('04_DATA'!A354="","",IF(AND('04_DATA'!G354=1,'04_DATA'!H354=1,'04_DATA'!I354&gt;=3),"eligible","EXCLUDE"))</f>
        <v/>
      </c>
      <c r="D357" s="55">
        <f>IF('04_DATA'!A354="","",37-COUNT('04_DATA'!$K354:$AU354))</f>
        <v/>
      </c>
      <c r="E357" s="63">
        <f>IF('04_DATA'!A354="","",(37-COUNT('04_DATA'!$K354:$AU354))/37)</f>
        <v/>
      </c>
      <c r="F357" s="55">
        <f>IF('04_DATA'!A354="","",IF(AND(COUNT('04_DATA'!$K354:$AU354)=37,COUNTIF('04_DATA'!$K354:$AU354,INDEX('04_DATA'!$K354:$AU354,1))=37),"EXCLUDE","ok"))</f>
        <v/>
      </c>
      <c r="G357" s="55">
        <f>IF('04_DATA'!A354="","",IF('04_DATA'!D354&lt;PERCENTILE('04_DATA'!$D$2:$D$1001,0.05),"FLAG","ok"))</f>
        <v/>
      </c>
      <c r="H357" s="55">
        <f>IF('04_DATA'!A354="","",IF(OR(C357="EXCLUDE",F357="EXCLUDE"),"Exclude under pre-specified rule",IF(E357&gt;0.15,"Exclude: &gt;15% missing",IF(G357="FLAG","Retain; test in robustness battery","Retain"))))</f>
        <v/>
      </c>
    </row>
    <row r="358">
      <c r="A358" s="55" t="n">
        <v>355</v>
      </c>
      <c r="B358" s="55">
        <f>IF('04_DATA'!A355="","",'04_DATA'!A355)</f>
        <v/>
      </c>
      <c r="C358" s="55">
        <f>IF('04_DATA'!A355="","",IF(AND('04_DATA'!G355=1,'04_DATA'!H355=1,'04_DATA'!I355&gt;=3),"eligible","EXCLUDE"))</f>
        <v/>
      </c>
      <c r="D358" s="55">
        <f>IF('04_DATA'!A355="","",37-COUNT('04_DATA'!$K355:$AU355))</f>
        <v/>
      </c>
      <c r="E358" s="63">
        <f>IF('04_DATA'!A355="","",(37-COUNT('04_DATA'!$K355:$AU355))/37)</f>
        <v/>
      </c>
      <c r="F358" s="55">
        <f>IF('04_DATA'!A355="","",IF(AND(COUNT('04_DATA'!$K355:$AU355)=37,COUNTIF('04_DATA'!$K355:$AU355,INDEX('04_DATA'!$K355:$AU355,1))=37),"EXCLUDE","ok"))</f>
        <v/>
      </c>
      <c r="G358" s="55">
        <f>IF('04_DATA'!A355="","",IF('04_DATA'!D355&lt;PERCENTILE('04_DATA'!$D$2:$D$1001,0.05),"FLAG","ok"))</f>
        <v/>
      </c>
      <c r="H358" s="55">
        <f>IF('04_DATA'!A355="","",IF(OR(C358="EXCLUDE",F358="EXCLUDE"),"Exclude under pre-specified rule",IF(E358&gt;0.15,"Exclude: &gt;15% missing",IF(G358="FLAG","Retain; test in robustness battery","Retain"))))</f>
        <v/>
      </c>
    </row>
    <row r="359">
      <c r="A359" s="55" t="n">
        <v>356</v>
      </c>
      <c r="B359" s="55">
        <f>IF('04_DATA'!A356="","",'04_DATA'!A356)</f>
        <v/>
      </c>
      <c r="C359" s="55">
        <f>IF('04_DATA'!A356="","",IF(AND('04_DATA'!G356=1,'04_DATA'!H356=1,'04_DATA'!I356&gt;=3),"eligible","EXCLUDE"))</f>
        <v/>
      </c>
      <c r="D359" s="55">
        <f>IF('04_DATA'!A356="","",37-COUNT('04_DATA'!$K356:$AU356))</f>
        <v/>
      </c>
      <c r="E359" s="63">
        <f>IF('04_DATA'!A356="","",(37-COUNT('04_DATA'!$K356:$AU356))/37)</f>
        <v/>
      </c>
      <c r="F359" s="55">
        <f>IF('04_DATA'!A356="","",IF(AND(COUNT('04_DATA'!$K356:$AU356)=37,COUNTIF('04_DATA'!$K356:$AU356,INDEX('04_DATA'!$K356:$AU356,1))=37),"EXCLUDE","ok"))</f>
        <v/>
      </c>
      <c r="G359" s="55">
        <f>IF('04_DATA'!A356="","",IF('04_DATA'!D356&lt;PERCENTILE('04_DATA'!$D$2:$D$1001,0.05),"FLAG","ok"))</f>
        <v/>
      </c>
      <c r="H359" s="55">
        <f>IF('04_DATA'!A356="","",IF(OR(C359="EXCLUDE",F359="EXCLUDE"),"Exclude under pre-specified rule",IF(E359&gt;0.15,"Exclude: &gt;15% missing",IF(G359="FLAG","Retain; test in robustness battery","Retain"))))</f>
        <v/>
      </c>
    </row>
    <row r="360">
      <c r="A360" s="55" t="n">
        <v>357</v>
      </c>
      <c r="B360" s="55">
        <f>IF('04_DATA'!A357="","",'04_DATA'!A357)</f>
        <v/>
      </c>
      <c r="C360" s="55">
        <f>IF('04_DATA'!A357="","",IF(AND('04_DATA'!G357=1,'04_DATA'!H357=1,'04_DATA'!I357&gt;=3),"eligible","EXCLUDE"))</f>
        <v/>
      </c>
      <c r="D360" s="55">
        <f>IF('04_DATA'!A357="","",37-COUNT('04_DATA'!$K357:$AU357))</f>
        <v/>
      </c>
      <c r="E360" s="63">
        <f>IF('04_DATA'!A357="","",(37-COUNT('04_DATA'!$K357:$AU357))/37)</f>
        <v/>
      </c>
      <c r="F360" s="55">
        <f>IF('04_DATA'!A357="","",IF(AND(COUNT('04_DATA'!$K357:$AU357)=37,COUNTIF('04_DATA'!$K357:$AU357,INDEX('04_DATA'!$K357:$AU357,1))=37),"EXCLUDE","ok"))</f>
        <v/>
      </c>
      <c r="G360" s="55">
        <f>IF('04_DATA'!A357="","",IF('04_DATA'!D357&lt;PERCENTILE('04_DATA'!$D$2:$D$1001,0.05),"FLAG","ok"))</f>
        <v/>
      </c>
      <c r="H360" s="55">
        <f>IF('04_DATA'!A357="","",IF(OR(C360="EXCLUDE",F360="EXCLUDE"),"Exclude under pre-specified rule",IF(E360&gt;0.15,"Exclude: &gt;15% missing",IF(G360="FLAG","Retain; test in robustness battery","Retain"))))</f>
        <v/>
      </c>
    </row>
    <row r="361">
      <c r="A361" s="55" t="n">
        <v>358</v>
      </c>
      <c r="B361" s="55">
        <f>IF('04_DATA'!A358="","",'04_DATA'!A358)</f>
        <v/>
      </c>
      <c r="C361" s="55">
        <f>IF('04_DATA'!A358="","",IF(AND('04_DATA'!G358=1,'04_DATA'!H358=1,'04_DATA'!I358&gt;=3),"eligible","EXCLUDE"))</f>
        <v/>
      </c>
      <c r="D361" s="55">
        <f>IF('04_DATA'!A358="","",37-COUNT('04_DATA'!$K358:$AU358))</f>
        <v/>
      </c>
      <c r="E361" s="63">
        <f>IF('04_DATA'!A358="","",(37-COUNT('04_DATA'!$K358:$AU358))/37)</f>
        <v/>
      </c>
      <c r="F361" s="55">
        <f>IF('04_DATA'!A358="","",IF(AND(COUNT('04_DATA'!$K358:$AU358)=37,COUNTIF('04_DATA'!$K358:$AU358,INDEX('04_DATA'!$K358:$AU358,1))=37),"EXCLUDE","ok"))</f>
        <v/>
      </c>
      <c r="G361" s="55">
        <f>IF('04_DATA'!A358="","",IF('04_DATA'!D358&lt;PERCENTILE('04_DATA'!$D$2:$D$1001,0.05),"FLAG","ok"))</f>
        <v/>
      </c>
      <c r="H361" s="55">
        <f>IF('04_DATA'!A358="","",IF(OR(C361="EXCLUDE",F361="EXCLUDE"),"Exclude under pre-specified rule",IF(E361&gt;0.15,"Exclude: &gt;15% missing",IF(G361="FLAG","Retain; test in robustness battery","Retain"))))</f>
        <v/>
      </c>
    </row>
    <row r="362">
      <c r="A362" s="55" t="n">
        <v>359</v>
      </c>
      <c r="B362" s="55">
        <f>IF('04_DATA'!A359="","",'04_DATA'!A359)</f>
        <v/>
      </c>
      <c r="C362" s="55">
        <f>IF('04_DATA'!A359="","",IF(AND('04_DATA'!G359=1,'04_DATA'!H359=1,'04_DATA'!I359&gt;=3),"eligible","EXCLUDE"))</f>
        <v/>
      </c>
      <c r="D362" s="55">
        <f>IF('04_DATA'!A359="","",37-COUNT('04_DATA'!$K359:$AU359))</f>
        <v/>
      </c>
      <c r="E362" s="63">
        <f>IF('04_DATA'!A359="","",(37-COUNT('04_DATA'!$K359:$AU359))/37)</f>
        <v/>
      </c>
      <c r="F362" s="55">
        <f>IF('04_DATA'!A359="","",IF(AND(COUNT('04_DATA'!$K359:$AU359)=37,COUNTIF('04_DATA'!$K359:$AU359,INDEX('04_DATA'!$K359:$AU359,1))=37),"EXCLUDE","ok"))</f>
        <v/>
      </c>
      <c r="G362" s="55">
        <f>IF('04_DATA'!A359="","",IF('04_DATA'!D359&lt;PERCENTILE('04_DATA'!$D$2:$D$1001,0.05),"FLAG","ok"))</f>
        <v/>
      </c>
      <c r="H362" s="55">
        <f>IF('04_DATA'!A359="","",IF(OR(C362="EXCLUDE",F362="EXCLUDE"),"Exclude under pre-specified rule",IF(E362&gt;0.15,"Exclude: &gt;15% missing",IF(G362="FLAG","Retain; test in robustness battery","Retain"))))</f>
        <v/>
      </c>
    </row>
    <row r="363">
      <c r="A363" s="55" t="n">
        <v>360</v>
      </c>
      <c r="B363" s="55">
        <f>IF('04_DATA'!A360="","",'04_DATA'!A360)</f>
        <v/>
      </c>
      <c r="C363" s="55">
        <f>IF('04_DATA'!A360="","",IF(AND('04_DATA'!G360=1,'04_DATA'!H360=1,'04_DATA'!I360&gt;=3),"eligible","EXCLUDE"))</f>
        <v/>
      </c>
      <c r="D363" s="55">
        <f>IF('04_DATA'!A360="","",37-COUNT('04_DATA'!$K360:$AU360))</f>
        <v/>
      </c>
      <c r="E363" s="63">
        <f>IF('04_DATA'!A360="","",(37-COUNT('04_DATA'!$K360:$AU360))/37)</f>
        <v/>
      </c>
      <c r="F363" s="55">
        <f>IF('04_DATA'!A360="","",IF(AND(COUNT('04_DATA'!$K360:$AU360)=37,COUNTIF('04_DATA'!$K360:$AU360,INDEX('04_DATA'!$K360:$AU360,1))=37),"EXCLUDE","ok"))</f>
        <v/>
      </c>
      <c r="G363" s="55">
        <f>IF('04_DATA'!A360="","",IF('04_DATA'!D360&lt;PERCENTILE('04_DATA'!$D$2:$D$1001,0.05),"FLAG","ok"))</f>
        <v/>
      </c>
      <c r="H363" s="55">
        <f>IF('04_DATA'!A360="","",IF(OR(C363="EXCLUDE",F363="EXCLUDE"),"Exclude under pre-specified rule",IF(E363&gt;0.15,"Exclude: &gt;15% missing",IF(G363="FLAG","Retain; test in robustness battery","Retain"))))</f>
        <v/>
      </c>
    </row>
    <row r="364">
      <c r="A364" s="55" t="n">
        <v>361</v>
      </c>
      <c r="B364" s="55">
        <f>IF('04_DATA'!A361="","",'04_DATA'!A361)</f>
        <v/>
      </c>
      <c r="C364" s="55">
        <f>IF('04_DATA'!A361="","",IF(AND('04_DATA'!G361=1,'04_DATA'!H361=1,'04_DATA'!I361&gt;=3),"eligible","EXCLUDE"))</f>
        <v/>
      </c>
      <c r="D364" s="55">
        <f>IF('04_DATA'!A361="","",37-COUNT('04_DATA'!$K361:$AU361))</f>
        <v/>
      </c>
      <c r="E364" s="63">
        <f>IF('04_DATA'!A361="","",(37-COUNT('04_DATA'!$K361:$AU361))/37)</f>
        <v/>
      </c>
      <c r="F364" s="55">
        <f>IF('04_DATA'!A361="","",IF(AND(COUNT('04_DATA'!$K361:$AU361)=37,COUNTIF('04_DATA'!$K361:$AU361,INDEX('04_DATA'!$K361:$AU361,1))=37),"EXCLUDE","ok"))</f>
        <v/>
      </c>
      <c r="G364" s="55">
        <f>IF('04_DATA'!A361="","",IF('04_DATA'!D361&lt;PERCENTILE('04_DATA'!$D$2:$D$1001,0.05),"FLAG","ok"))</f>
        <v/>
      </c>
      <c r="H364" s="55">
        <f>IF('04_DATA'!A361="","",IF(OR(C364="EXCLUDE",F364="EXCLUDE"),"Exclude under pre-specified rule",IF(E364&gt;0.15,"Exclude: &gt;15% missing",IF(G364="FLAG","Retain; test in robustness battery","Retain"))))</f>
        <v/>
      </c>
    </row>
    <row r="365">
      <c r="A365" s="55" t="n">
        <v>362</v>
      </c>
      <c r="B365" s="55">
        <f>IF('04_DATA'!A362="","",'04_DATA'!A362)</f>
        <v/>
      </c>
      <c r="C365" s="55">
        <f>IF('04_DATA'!A362="","",IF(AND('04_DATA'!G362=1,'04_DATA'!H362=1,'04_DATA'!I362&gt;=3),"eligible","EXCLUDE"))</f>
        <v/>
      </c>
      <c r="D365" s="55">
        <f>IF('04_DATA'!A362="","",37-COUNT('04_DATA'!$K362:$AU362))</f>
        <v/>
      </c>
      <c r="E365" s="63">
        <f>IF('04_DATA'!A362="","",(37-COUNT('04_DATA'!$K362:$AU362))/37)</f>
        <v/>
      </c>
      <c r="F365" s="55">
        <f>IF('04_DATA'!A362="","",IF(AND(COUNT('04_DATA'!$K362:$AU362)=37,COUNTIF('04_DATA'!$K362:$AU362,INDEX('04_DATA'!$K362:$AU362,1))=37),"EXCLUDE","ok"))</f>
        <v/>
      </c>
      <c r="G365" s="55">
        <f>IF('04_DATA'!A362="","",IF('04_DATA'!D362&lt;PERCENTILE('04_DATA'!$D$2:$D$1001,0.05),"FLAG","ok"))</f>
        <v/>
      </c>
      <c r="H365" s="55">
        <f>IF('04_DATA'!A362="","",IF(OR(C365="EXCLUDE",F365="EXCLUDE"),"Exclude under pre-specified rule",IF(E365&gt;0.15,"Exclude: &gt;15% missing",IF(G365="FLAG","Retain; test in robustness battery","Retain"))))</f>
        <v/>
      </c>
    </row>
    <row r="366">
      <c r="A366" s="55" t="n">
        <v>363</v>
      </c>
      <c r="B366" s="55">
        <f>IF('04_DATA'!A363="","",'04_DATA'!A363)</f>
        <v/>
      </c>
      <c r="C366" s="55">
        <f>IF('04_DATA'!A363="","",IF(AND('04_DATA'!G363=1,'04_DATA'!H363=1,'04_DATA'!I363&gt;=3),"eligible","EXCLUDE"))</f>
        <v/>
      </c>
      <c r="D366" s="55">
        <f>IF('04_DATA'!A363="","",37-COUNT('04_DATA'!$K363:$AU363))</f>
        <v/>
      </c>
      <c r="E366" s="63">
        <f>IF('04_DATA'!A363="","",(37-COUNT('04_DATA'!$K363:$AU363))/37)</f>
        <v/>
      </c>
      <c r="F366" s="55">
        <f>IF('04_DATA'!A363="","",IF(AND(COUNT('04_DATA'!$K363:$AU363)=37,COUNTIF('04_DATA'!$K363:$AU363,INDEX('04_DATA'!$K363:$AU363,1))=37),"EXCLUDE","ok"))</f>
        <v/>
      </c>
      <c r="G366" s="55">
        <f>IF('04_DATA'!A363="","",IF('04_DATA'!D363&lt;PERCENTILE('04_DATA'!$D$2:$D$1001,0.05),"FLAG","ok"))</f>
        <v/>
      </c>
      <c r="H366" s="55">
        <f>IF('04_DATA'!A363="","",IF(OR(C366="EXCLUDE",F366="EXCLUDE"),"Exclude under pre-specified rule",IF(E366&gt;0.15,"Exclude: &gt;15% missing",IF(G366="FLAG","Retain; test in robustness battery","Retain"))))</f>
        <v/>
      </c>
    </row>
    <row r="367">
      <c r="A367" s="55" t="n">
        <v>364</v>
      </c>
      <c r="B367" s="55">
        <f>IF('04_DATA'!A364="","",'04_DATA'!A364)</f>
        <v/>
      </c>
      <c r="C367" s="55">
        <f>IF('04_DATA'!A364="","",IF(AND('04_DATA'!G364=1,'04_DATA'!H364=1,'04_DATA'!I364&gt;=3),"eligible","EXCLUDE"))</f>
        <v/>
      </c>
      <c r="D367" s="55">
        <f>IF('04_DATA'!A364="","",37-COUNT('04_DATA'!$K364:$AU364))</f>
        <v/>
      </c>
      <c r="E367" s="63">
        <f>IF('04_DATA'!A364="","",(37-COUNT('04_DATA'!$K364:$AU364))/37)</f>
        <v/>
      </c>
      <c r="F367" s="55">
        <f>IF('04_DATA'!A364="","",IF(AND(COUNT('04_DATA'!$K364:$AU364)=37,COUNTIF('04_DATA'!$K364:$AU364,INDEX('04_DATA'!$K364:$AU364,1))=37),"EXCLUDE","ok"))</f>
        <v/>
      </c>
      <c r="G367" s="55">
        <f>IF('04_DATA'!A364="","",IF('04_DATA'!D364&lt;PERCENTILE('04_DATA'!$D$2:$D$1001,0.05),"FLAG","ok"))</f>
        <v/>
      </c>
      <c r="H367" s="55">
        <f>IF('04_DATA'!A364="","",IF(OR(C367="EXCLUDE",F367="EXCLUDE"),"Exclude under pre-specified rule",IF(E367&gt;0.15,"Exclude: &gt;15% missing",IF(G367="FLAG","Retain; test in robustness battery","Retain"))))</f>
        <v/>
      </c>
    </row>
    <row r="368">
      <c r="A368" s="55" t="n">
        <v>365</v>
      </c>
      <c r="B368" s="55">
        <f>IF('04_DATA'!A365="","",'04_DATA'!A365)</f>
        <v/>
      </c>
      <c r="C368" s="55">
        <f>IF('04_DATA'!A365="","",IF(AND('04_DATA'!G365=1,'04_DATA'!H365=1,'04_DATA'!I365&gt;=3),"eligible","EXCLUDE"))</f>
        <v/>
      </c>
      <c r="D368" s="55">
        <f>IF('04_DATA'!A365="","",37-COUNT('04_DATA'!$K365:$AU365))</f>
        <v/>
      </c>
      <c r="E368" s="63">
        <f>IF('04_DATA'!A365="","",(37-COUNT('04_DATA'!$K365:$AU365))/37)</f>
        <v/>
      </c>
      <c r="F368" s="55">
        <f>IF('04_DATA'!A365="","",IF(AND(COUNT('04_DATA'!$K365:$AU365)=37,COUNTIF('04_DATA'!$K365:$AU365,INDEX('04_DATA'!$K365:$AU365,1))=37),"EXCLUDE","ok"))</f>
        <v/>
      </c>
      <c r="G368" s="55">
        <f>IF('04_DATA'!A365="","",IF('04_DATA'!D365&lt;PERCENTILE('04_DATA'!$D$2:$D$1001,0.05),"FLAG","ok"))</f>
        <v/>
      </c>
      <c r="H368" s="55">
        <f>IF('04_DATA'!A365="","",IF(OR(C368="EXCLUDE",F368="EXCLUDE"),"Exclude under pre-specified rule",IF(E368&gt;0.15,"Exclude: &gt;15% missing",IF(G368="FLAG","Retain; test in robustness battery","Retain"))))</f>
        <v/>
      </c>
    </row>
    <row r="369">
      <c r="A369" s="55" t="n">
        <v>366</v>
      </c>
      <c r="B369" s="55">
        <f>IF('04_DATA'!A366="","",'04_DATA'!A366)</f>
        <v/>
      </c>
      <c r="C369" s="55">
        <f>IF('04_DATA'!A366="","",IF(AND('04_DATA'!G366=1,'04_DATA'!H366=1,'04_DATA'!I366&gt;=3),"eligible","EXCLUDE"))</f>
        <v/>
      </c>
      <c r="D369" s="55">
        <f>IF('04_DATA'!A366="","",37-COUNT('04_DATA'!$K366:$AU366))</f>
        <v/>
      </c>
      <c r="E369" s="63">
        <f>IF('04_DATA'!A366="","",(37-COUNT('04_DATA'!$K366:$AU366))/37)</f>
        <v/>
      </c>
      <c r="F369" s="55">
        <f>IF('04_DATA'!A366="","",IF(AND(COUNT('04_DATA'!$K366:$AU366)=37,COUNTIF('04_DATA'!$K366:$AU366,INDEX('04_DATA'!$K366:$AU366,1))=37),"EXCLUDE","ok"))</f>
        <v/>
      </c>
      <c r="G369" s="55">
        <f>IF('04_DATA'!A366="","",IF('04_DATA'!D366&lt;PERCENTILE('04_DATA'!$D$2:$D$1001,0.05),"FLAG","ok"))</f>
        <v/>
      </c>
      <c r="H369" s="55">
        <f>IF('04_DATA'!A366="","",IF(OR(C369="EXCLUDE",F369="EXCLUDE"),"Exclude under pre-specified rule",IF(E369&gt;0.15,"Exclude: &gt;15% missing",IF(G369="FLAG","Retain; test in robustness battery","Retain"))))</f>
        <v/>
      </c>
    </row>
    <row r="370">
      <c r="A370" s="55" t="n">
        <v>367</v>
      </c>
      <c r="B370" s="55">
        <f>IF('04_DATA'!A367="","",'04_DATA'!A367)</f>
        <v/>
      </c>
      <c r="C370" s="55">
        <f>IF('04_DATA'!A367="","",IF(AND('04_DATA'!G367=1,'04_DATA'!H367=1,'04_DATA'!I367&gt;=3),"eligible","EXCLUDE"))</f>
        <v/>
      </c>
      <c r="D370" s="55">
        <f>IF('04_DATA'!A367="","",37-COUNT('04_DATA'!$K367:$AU367))</f>
        <v/>
      </c>
      <c r="E370" s="63">
        <f>IF('04_DATA'!A367="","",(37-COUNT('04_DATA'!$K367:$AU367))/37)</f>
        <v/>
      </c>
      <c r="F370" s="55">
        <f>IF('04_DATA'!A367="","",IF(AND(COUNT('04_DATA'!$K367:$AU367)=37,COUNTIF('04_DATA'!$K367:$AU367,INDEX('04_DATA'!$K367:$AU367,1))=37),"EXCLUDE","ok"))</f>
        <v/>
      </c>
      <c r="G370" s="55">
        <f>IF('04_DATA'!A367="","",IF('04_DATA'!D367&lt;PERCENTILE('04_DATA'!$D$2:$D$1001,0.05),"FLAG","ok"))</f>
        <v/>
      </c>
      <c r="H370" s="55">
        <f>IF('04_DATA'!A367="","",IF(OR(C370="EXCLUDE",F370="EXCLUDE"),"Exclude under pre-specified rule",IF(E370&gt;0.15,"Exclude: &gt;15% missing",IF(G370="FLAG","Retain; test in robustness battery","Retain"))))</f>
        <v/>
      </c>
    </row>
    <row r="371">
      <c r="A371" s="55" t="n">
        <v>368</v>
      </c>
      <c r="B371" s="55">
        <f>IF('04_DATA'!A368="","",'04_DATA'!A368)</f>
        <v/>
      </c>
      <c r="C371" s="55">
        <f>IF('04_DATA'!A368="","",IF(AND('04_DATA'!G368=1,'04_DATA'!H368=1,'04_DATA'!I368&gt;=3),"eligible","EXCLUDE"))</f>
        <v/>
      </c>
      <c r="D371" s="55">
        <f>IF('04_DATA'!A368="","",37-COUNT('04_DATA'!$K368:$AU368))</f>
        <v/>
      </c>
      <c r="E371" s="63">
        <f>IF('04_DATA'!A368="","",(37-COUNT('04_DATA'!$K368:$AU368))/37)</f>
        <v/>
      </c>
      <c r="F371" s="55">
        <f>IF('04_DATA'!A368="","",IF(AND(COUNT('04_DATA'!$K368:$AU368)=37,COUNTIF('04_DATA'!$K368:$AU368,INDEX('04_DATA'!$K368:$AU368,1))=37),"EXCLUDE","ok"))</f>
        <v/>
      </c>
      <c r="G371" s="55">
        <f>IF('04_DATA'!A368="","",IF('04_DATA'!D368&lt;PERCENTILE('04_DATA'!$D$2:$D$1001,0.05),"FLAG","ok"))</f>
        <v/>
      </c>
      <c r="H371" s="55">
        <f>IF('04_DATA'!A368="","",IF(OR(C371="EXCLUDE",F371="EXCLUDE"),"Exclude under pre-specified rule",IF(E371&gt;0.15,"Exclude: &gt;15% missing",IF(G371="FLAG","Retain; test in robustness battery","Retain"))))</f>
        <v/>
      </c>
    </row>
    <row r="372">
      <c r="A372" s="55" t="n">
        <v>369</v>
      </c>
      <c r="B372" s="55">
        <f>IF('04_DATA'!A369="","",'04_DATA'!A369)</f>
        <v/>
      </c>
      <c r="C372" s="55">
        <f>IF('04_DATA'!A369="","",IF(AND('04_DATA'!G369=1,'04_DATA'!H369=1,'04_DATA'!I369&gt;=3),"eligible","EXCLUDE"))</f>
        <v/>
      </c>
      <c r="D372" s="55">
        <f>IF('04_DATA'!A369="","",37-COUNT('04_DATA'!$K369:$AU369))</f>
        <v/>
      </c>
      <c r="E372" s="63">
        <f>IF('04_DATA'!A369="","",(37-COUNT('04_DATA'!$K369:$AU369))/37)</f>
        <v/>
      </c>
      <c r="F372" s="55">
        <f>IF('04_DATA'!A369="","",IF(AND(COUNT('04_DATA'!$K369:$AU369)=37,COUNTIF('04_DATA'!$K369:$AU369,INDEX('04_DATA'!$K369:$AU369,1))=37),"EXCLUDE","ok"))</f>
        <v/>
      </c>
      <c r="G372" s="55">
        <f>IF('04_DATA'!A369="","",IF('04_DATA'!D369&lt;PERCENTILE('04_DATA'!$D$2:$D$1001,0.05),"FLAG","ok"))</f>
        <v/>
      </c>
      <c r="H372" s="55">
        <f>IF('04_DATA'!A369="","",IF(OR(C372="EXCLUDE",F372="EXCLUDE"),"Exclude under pre-specified rule",IF(E372&gt;0.15,"Exclude: &gt;15% missing",IF(G372="FLAG","Retain; test in robustness battery","Retain"))))</f>
        <v/>
      </c>
    </row>
    <row r="373">
      <c r="A373" s="55" t="n">
        <v>370</v>
      </c>
      <c r="B373" s="55">
        <f>IF('04_DATA'!A370="","",'04_DATA'!A370)</f>
        <v/>
      </c>
      <c r="C373" s="55">
        <f>IF('04_DATA'!A370="","",IF(AND('04_DATA'!G370=1,'04_DATA'!H370=1,'04_DATA'!I370&gt;=3),"eligible","EXCLUDE"))</f>
        <v/>
      </c>
      <c r="D373" s="55">
        <f>IF('04_DATA'!A370="","",37-COUNT('04_DATA'!$K370:$AU370))</f>
        <v/>
      </c>
      <c r="E373" s="63">
        <f>IF('04_DATA'!A370="","",(37-COUNT('04_DATA'!$K370:$AU370))/37)</f>
        <v/>
      </c>
      <c r="F373" s="55">
        <f>IF('04_DATA'!A370="","",IF(AND(COUNT('04_DATA'!$K370:$AU370)=37,COUNTIF('04_DATA'!$K370:$AU370,INDEX('04_DATA'!$K370:$AU370,1))=37),"EXCLUDE","ok"))</f>
        <v/>
      </c>
      <c r="G373" s="55">
        <f>IF('04_DATA'!A370="","",IF('04_DATA'!D370&lt;PERCENTILE('04_DATA'!$D$2:$D$1001,0.05),"FLAG","ok"))</f>
        <v/>
      </c>
      <c r="H373" s="55">
        <f>IF('04_DATA'!A370="","",IF(OR(C373="EXCLUDE",F373="EXCLUDE"),"Exclude under pre-specified rule",IF(E373&gt;0.15,"Exclude: &gt;15% missing",IF(G373="FLAG","Retain; test in robustness battery","Retain"))))</f>
        <v/>
      </c>
    </row>
    <row r="374">
      <c r="A374" s="55" t="n">
        <v>371</v>
      </c>
      <c r="B374" s="55">
        <f>IF('04_DATA'!A371="","",'04_DATA'!A371)</f>
        <v/>
      </c>
      <c r="C374" s="55">
        <f>IF('04_DATA'!A371="","",IF(AND('04_DATA'!G371=1,'04_DATA'!H371=1,'04_DATA'!I371&gt;=3),"eligible","EXCLUDE"))</f>
        <v/>
      </c>
      <c r="D374" s="55">
        <f>IF('04_DATA'!A371="","",37-COUNT('04_DATA'!$K371:$AU371))</f>
        <v/>
      </c>
      <c r="E374" s="63">
        <f>IF('04_DATA'!A371="","",(37-COUNT('04_DATA'!$K371:$AU371))/37)</f>
        <v/>
      </c>
      <c r="F374" s="55">
        <f>IF('04_DATA'!A371="","",IF(AND(COUNT('04_DATA'!$K371:$AU371)=37,COUNTIF('04_DATA'!$K371:$AU371,INDEX('04_DATA'!$K371:$AU371,1))=37),"EXCLUDE","ok"))</f>
        <v/>
      </c>
      <c r="G374" s="55">
        <f>IF('04_DATA'!A371="","",IF('04_DATA'!D371&lt;PERCENTILE('04_DATA'!$D$2:$D$1001,0.05),"FLAG","ok"))</f>
        <v/>
      </c>
      <c r="H374" s="55">
        <f>IF('04_DATA'!A371="","",IF(OR(C374="EXCLUDE",F374="EXCLUDE"),"Exclude under pre-specified rule",IF(E374&gt;0.15,"Exclude: &gt;15% missing",IF(G374="FLAG","Retain; test in robustness battery","Retain"))))</f>
        <v/>
      </c>
    </row>
    <row r="375">
      <c r="A375" s="55" t="n">
        <v>372</v>
      </c>
      <c r="B375" s="55">
        <f>IF('04_DATA'!A372="","",'04_DATA'!A372)</f>
        <v/>
      </c>
      <c r="C375" s="55">
        <f>IF('04_DATA'!A372="","",IF(AND('04_DATA'!G372=1,'04_DATA'!H372=1,'04_DATA'!I372&gt;=3),"eligible","EXCLUDE"))</f>
        <v/>
      </c>
      <c r="D375" s="55">
        <f>IF('04_DATA'!A372="","",37-COUNT('04_DATA'!$K372:$AU372))</f>
        <v/>
      </c>
      <c r="E375" s="63">
        <f>IF('04_DATA'!A372="","",(37-COUNT('04_DATA'!$K372:$AU372))/37)</f>
        <v/>
      </c>
      <c r="F375" s="55">
        <f>IF('04_DATA'!A372="","",IF(AND(COUNT('04_DATA'!$K372:$AU372)=37,COUNTIF('04_DATA'!$K372:$AU372,INDEX('04_DATA'!$K372:$AU372,1))=37),"EXCLUDE","ok"))</f>
        <v/>
      </c>
      <c r="G375" s="55">
        <f>IF('04_DATA'!A372="","",IF('04_DATA'!D372&lt;PERCENTILE('04_DATA'!$D$2:$D$1001,0.05),"FLAG","ok"))</f>
        <v/>
      </c>
      <c r="H375" s="55">
        <f>IF('04_DATA'!A372="","",IF(OR(C375="EXCLUDE",F375="EXCLUDE"),"Exclude under pre-specified rule",IF(E375&gt;0.15,"Exclude: &gt;15% missing",IF(G375="FLAG","Retain; test in robustness battery","Retain"))))</f>
        <v/>
      </c>
    </row>
    <row r="376">
      <c r="A376" s="55" t="n">
        <v>373</v>
      </c>
      <c r="B376" s="55">
        <f>IF('04_DATA'!A373="","",'04_DATA'!A373)</f>
        <v/>
      </c>
      <c r="C376" s="55">
        <f>IF('04_DATA'!A373="","",IF(AND('04_DATA'!G373=1,'04_DATA'!H373=1,'04_DATA'!I373&gt;=3),"eligible","EXCLUDE"))</f>
        <v/>
      </c>
      <c r="D376" s="55">
        <f>IF('04_DATA'!A373="","",37-COUNT('04_DATA'!$K373:$AU373))</f>
        <v/>
      </c>
      <c r="E376" s="63">
        <f>IF('04_DATA'!A373="","",(37-COUNT('04_DATA'!$K373:$AU373))/37)</f>
        <v/>
      </c>
      <c r="F376" s="55">
        <f>IF('04_DATA'!A373="","",IF(AND(COUNT('04_DATA'!$K373:$AU373)=37,COUNTIF('04_DATA'!$K373:$AU373,INDEX('04_DATA'!$K373:$AU373,1))=37),"EXCLUDE","ok"))</f>
        <v/>
      </c>
      <c r="G376" s="55">
        <f>IF('04_DATA'!A373="","",IF('04_DATA'!D373&lt;PERCENTILE('04_DATA'!$D$2:$D$1001,0.05),"FLAG","ok"))</f>
        <v/>
      </c>
      <c r="H376" s="55">
        <f>IF('04_DATA'!A373="","",IF(OR(C376="EXCLUDE",F376="EXCLUDE"),"Exclude under pre-specified rule",IF(E376&gt;0.15,"Exclude: &gt;15% missing",IF(G376="FLAG","Retain; test in robustness battery","Retain"))))</f>
        <v/>
      </c>
    </row>
    <row r="377">
      <c r="A377" s="55" t="n">
        <v>374</v>
      </c>
      <c r="B377" s="55">
        <f>IF('04_DATA'!A374="","",'04_DATA'!A374)</f>
        <v/>
      </c>
      <c r="C377" s="55">
        <f>IF('04_DATA'!A374="","",IF(AND('04_DATA'!G374=1,'04_DATA'!H374=1,'04_DATA'!I374&gt;=3),"eligible","EXCLUDE"))</f>
        <v/>
      </c>
      <c r="D377" s="55">
        <f>IF('04_DATA'!A374="","",37-COUNT('04_DATA'!$K374:$AU374))</f>
        <v/>
      </c>
      <c r="E377" s="63">
        <f>IF('04_DATA'!A374="","",(37-COUNT('04_DATA'!$K374:$AU374))/37)</f>
        <v/>
      </c>
      <c r="F377" s="55">
        <f>IF('04_DATA'!A374="","",IF(AND(COUNT('04_DATA'!$K374:$AU374)=37,COUNTIF('04_DATA'!$K374:$AU374,INDEX('04_DATA'!$K374:$AU374,1))=37),"EXCLUDE","ok"))</f>
        <v/>
      </c>
      <c r="G377" s="55">
        <f>IF('04_DATA'!A374="","",IF('04_DATA'!D374&lt;PERCENTILE('04_DATA'!$D$2:$D$1001,0.05),"FLAG","ok"))</f>
        <v/>
      </c>
      <c r="H377" s="55">
        <f>IF('04_DATA'!A374="","",IF(OR(C377="EXCLUDE",F377="EXCLUDE"),"Exclude under pre-specified rule",IF(E377&gt;0.15,"Exclude: &gt;15% missing",IF(G377="FLAG","Retain; test in robustness battery","Retain"))))</f>
        <v/>
      </c>
    </row>
    <row r="378">
      <c r="A378" s="55" t="n">
        <v>375</v>
      </c>
      <c r="B378" s="55">
        <f>IF('04_DATA'!A375="","",'04_DATA'!A375)</f>
        <v/>
      </c>
      <c r="C378" s="55">
        <f>IF('04_DATA'!A375="","",IF(AND('04_DATA'!G375=1,'04_DATA'!H375=1,'04_DATA'!I375&gt;=3),"eligible","EXCLUDE"))</f>
        <v/>
      </c>
      <c r="D378" s="55">
        <f>IF('04_DATA'!A375="","",37-COUNT('04_DATA'!$K375:$AU375))</f>
        <v/>
      </c>
      <c r="E378" s="63">
        <f>IF('04_DATA'!A375="","",(37-COUNT('04_DATA'!$K375:$AU375))/37)</f>
        <v/>
      </c>
      <c r="F378" s="55">
        <f>IF('04_DATA'!A375="","",IF(AND(COUNT('04_DATA'!$K375:$AU375)=37,COUNTIF('04_DATA'!$K375:$AU375,INDEX('04_DATA'!$K375:$AU375,1))=37),"EXCLUDE","ok"))</f>
        <v/>
      </c>
      <c r="G378" s="55">
        <f>IF('04_DATA'!A375="","",IF('04_DATA'!D375&lt;PERCENTILE('04_DATA'!$D$2:$D$1001,0.05),"FLAG","ok"))</f>
        <v/>
      </c>
      <c r="H378" s="55">
        <f>IF('04_DATA'!A375="","",IF(OR(C378="EXCLUDE",F378="EXCLUDE"),"Exclude under pre-specified rule",IF(E378&gt;0.15,"Exclude: &gt;15% missing",IF(G378="FLAG","Retain; test in robustness battery","Retain"))))</f>
        <v/>
      </c>
    </row>
    <row r="379">
      <c r="A379" s="55" t="n">
        <v>376</v>
      </c>
      <c r="B379" s="55">
        <f>IF('04_DATA'!A376="","",'04_DATA'!A376)</f>
        <v/>
      </c>
      <c r="C379" s="55">
        <f>IF('04_DATA'!A376="","",IF(AND('04_DATA'!G376=1,'04_DATA'!H376=1,'04_DATA'!I376&gt;=3),"eligible","EXCLUDE"))</f>
        <v/>
      </c>
      <c r="D379" s="55">
        <f>IF('04_DATA'!A376="","",37-COUNT('04_DATA'!$K376:$AU376))</f>
        <v/>
      </c>
      <c r="E379" s="63">
        <f>IF('04_DATA'!A376="","",(37-COUNT('04_DATA'!$K376:$AU376))/37)</f>
        <v/>
      </c>
      <c r="F379" s="55">
        <f>IF('04_DATA'!A376="","",IF(AND(COUNT('04_DATA'!$K376:$AU376)=37,COUNTIF('04_DATA'!$K376:$AU376,INDEX('04_DATA'!$K376:$AU376,1))=37),"EXCLUDE","ok"))</f>
        <v/>
      </c>
      <c r="G379" s="55">
        <f>IF('04_DATA'!A376="","",IF('04_DATA'!D376&lt;PERCENTILE('04_DATA'!$D$2:$D$1001,0.05),"FLAG","ok"))</f>
        <v/>
      </c>
      <c r="H379" s="55">
        <f>IF('04_DATA'!A376="","",IF(OR(C379="EXCLUDE",F379="EXCLUDE"),"Exclude under pre-specified rule",IF(E379&gt;0.15,"Exclude: &gt;15% missing",IF(G379="FLAG","Retain; test in robustness battery","Retain"))))</f>
        <v/>
      </c>
    </row>
    <row r="380">
      <c r="A380" s="55" t="n">
        <v>377</v>
      </c>
      <c r="B380" s="55">
        <f>IF('04_DATA'!A377="","",'04_DATA'!A377)</f>
        <v/>
      </c>
      <c r="C380" s="55">
        <f>IF('04_DATA'!A377="","",IF(AND('04_DATA'!G377=1,'04_DATA'!H377=1,'04_DATA'!I377&gt;=3),"eligible","EXCLUDE"))</f>
        <v/>
      </c>
      <c r="D380" s="55">
        <f>IF('04_DATA'!A377="","",37-COUNT('04_DATA'!$K377:$AU377))</f>
        <v/>
      </c>
      <c r="E380" s="63">
        <f>IF('04_DATA'!A377="","",(37-COUNT('04_DATA'!$K377:$AU377))/37)</f>
        <v/>
      </c>
      <c r="F380" s="55">
        <f>IF('04_DATA'!A377="","",IF(AND(COUNT('04_DATA'!$K377:$AU377)=37,COUNTIF('04_DATA'!$K377:$AU377,INDEX('04_DATA'!$K377:$AU377,1))=37),"EXCLUDE","ok"))</f>
        <v/>
      </c>
      <c r="G380" s="55">
        <f>IF('04_DATA'!A377="","",IF('04_DATA'!D377&lt;PERCENTILE('04_DATA'!$D$2:$D$1001,0.05),"FLAG","ok"))</f>
        <v/>
      </c>
      <c r="H380" s="55">
        <f>IF('04_DATA'!A377="","",IF(OR(C380="EXCLUDE",F380="EXCLUDE"),"Exclude under pre-specified rule",IF(E380&gt;0.15,"Exclude: &gt;15% missing",IF(G380="FLAG","Retain; test in robustness battery","Retain"))))</f>
        <v/>
      </c>
    </row>
    <row r="381">
      <c r="A381" s="55" t="n">
        <v>378</v>
      </c>
      <c r="B381" s="55">
        <f>IF('04_DATA'!A378="","",'04_DATA'!A378)</f>
        <v/>
      </c>
      <c r="C381" s="55">
        <f>IF('04_DATA'!A378="","",IF(AND('04_DATA'!G378=1,'04_DATA'!H378=1,'04_DATA'!I378&gt;=3),"eligible","EXCLUDE"))</f>
        <v/>
      </c>
      <c r="D381" s="55">
        <f>IF('04_DATA'!A378="","",37-COUNT('04_DATA'!$K378:$AU378))</f>
        <v/>
      </c>
      <c r="E381" s="63">
        <f>IF('04_DATA'!A378="","",(37-COUNT('04_DATA'!$K378:$AU378))/37)</f>
        <v/>
      </c>
      <c r="F381" s="55">
        <f>IF('04_DATA'!A378="","",IF(AND(COUNT('04_DATA'!$K378:$AU378)=37,COUNTIF('04_DATA'!$K378:$AU378,INDEX('04_DATA'!$K378:$AU378,1))=37),"EXCLUDE","ok"))</f>
        <v/>
      </c>
      <c r="G381" s="55">
        <f>IF('04_DATA'!A378="","",IF('04_DATA'!D378&lt;PERCENTILE('04_DATA'!$D$2:$D$1001,0.05),"FLAG","ok"))</f>
        <v/>
      </c>
      <c r="H381" s="55">
        <f>IF('04_DATA'!A378="","",IF(OR(C381="EXCLUDE",F381="EXCLUDE"),"Exclude under pre-specified rule",IF(E381&gt;0.15,"Exclude: &gt;15% missing",IF(G381="FLAG","Retain; test in robustness battery","Retain"))))</f>
        <v/>
      </c>
    </row>
    <row r="382">
      <c r="A382" s="55" t="n">
        <v>379</v>
      </c>
      <c r="B382" s="55">
        <f>IF('04_DATA'!A379="","",'04_DATA'!A379)</f>
        <v/>
      </c>
      <c r="C382" s="55">
        <f>IF('04_DATA'!A379="","",IF(AND('04_DATA'!G379=1,'04_DATA'!H379=1,'04_DATA'!I379&gt;=3),"eligible","EXCLUDE"))</f>
        <v/>
      </c>
      <c r="D382" s="55">
        <f>IF('04_DATA'!A379="","",37-COUNT('04_DATA'!$K379:$AU379))</f>
        <v/>
      </c>
      <c r="E382" s="63">
        <f>IF('04_DATA'!A379="","",(37-COUNT('04_DATA'!$K379:$AU379))/37)</f>
        <v/>
      </c>
      <c r="F382" s="55">
        <f>IF('04_DATA'!A379="","",IF(AND(COUNT('04_DATA'!$K379:$AU379)=37,COUNTIF('04_DATA'!$K379:$AU379,INDEX('04_DATA'!$K379:$AU379,1))=37),"EXCLUDE","ok"))</f>
        <v/>
      </c>
      <c r="G382" s="55">
        <f>IF('04_DATA'!A379="","",IF('04_DATA'!D379&lt;PERCENTILE('04_DATA'!$D$2:$D$1001,0.05),"FLAG","ok"))</f>
        <v/>
      </c>
      <c r="H382" s="55">
        <f>IF('04_DATA'!A379="","",IF(OR(C382="EXCLUDE",F382="EXCLUDE"),"Exclude under pre-specified rule",IF(E382&gt;0.15,"Exclude: &gt;15% missing",IF(G382="FLAG","Retain; test in robustness battery","Retain"))))</f>
        <v/>
      </c>
    </row>
    <row r="383">
      <c r="A383" s="55" t="n">
        <v>380</v>
      </c>
      <c r="B383" s="55">
        <f>IF('04_DATA'!A380="","",'04_DATA'!A380)</f>
        <v/>
      </c>
      <c r="C383" s="55">
        <f>IF('04_DATA'!A380="","",IF(AND('04_DATA'!G380=1,'04_DATA'!H380=1,'04_DATA'!I380&gt;=3),"eligible","EXCLUDE"))</f>
        <v/>
      </c>
      <c r="D383" s="55">
        <f>IF('04_DATA'!A380="","",37-COUNT('04_DATA'!$K380:$AU380))</f>
        <v/>
      </c>
      <c r="E383" s="63">
        <f>IF('04_DATA'!A380="","",(37-COUNT('04_DATA'!$K380:$AU380))/37)</f>
        <v/>
      </c>
      <c r="F383" s="55">
        <f>IF('04_DATA'!A380="","",IF(AND(COUNT('04_DATA'!$K380:$AU380)=37,COUNTIF('04_DATA'!$K380:$AU380,INDEX('04_DATA'!$K380:$AU380,1))=37),"EXCLUDE","ok"))</f>
        <v/>
      </c>
      <c r="G383" s="55">
        <f>IF('04_DATA'!A380="","",IF('04_DATA'!D380&lt;PERCENTILE('04_DATA'!$D$2:$D$1001,0.05),"FLAG","ok"))</f>
        <v/>
      </c>
      <c r="H383" s="55">
        <f>IF('04_DATA'!A380="","",IF(OR(C383="EXCLUDE",F383="EXCLUDE"),"Exclude under pre-specified rule",IF(E383&gt;0.15,"Exclude: &gt;15% missing",IF(G383="FLAG","Retain; test in robustness battery","Retain"))))</f>
        <v/>
      </c>
    </row>
    <row r="384">
      <c r="A384" s="55" t="n">
        <v>381</v>
      </c>
      <c r="B384" s="55">
        <f>IF('04_DATA'!A381="","",'04_DATA'!A381)</f>
        <v/>
      </c>
      <c r="C384" s="55">
        <f>IF('04_DATA'!A381="","",IF(AND('04_DATA'!G381=1,'04_DATA'!H381=1,'04_DATA'!I381&gt;=3),"eligible","EXCLUDE"))</f>
        <v/>
      </c>
      <c r="D384" s="55">
        <f>IF('04_DATA'!A381="","",37-COUNT('04_DATA'!$K381:$AU381))</f>
        <v/>
      </c>
      <c r="E384" s="63">
        <f>IF('04_DATA'!A381="","",(37-COUNT('04_DATA'!$K381:$AU381))/37)</f>
        <v/>
      </c>
      <c r="F384" s="55">
        <f>IF('04_DATA'!A381="","",IF(AND(COUNT('04_DATA'!$K381:$AU381)=37,COUNTIF('04_DATA'!$K381:$AU381,INDEX('04_DATA'!$K381:$AU381,1))=37),"EXCLUDE","ok"))</f>
        <v/>
      </c>
      <c r="G384" s="55">
        <f>IF('04_DATA'!A381="","",IF('04_DATA'!D381&lt;PERCENTILE('04_DATA'!$D$2:$D$1001,0.05),"FLAG","ok"))</f>
        <v/>
      </c>
      <c r="H384" s="55">
        <f>IF('04_DATA'!A381="","",IF(OR(C384="EXCLUDE",F384="EXCLUDE"),"Exclude under pre-specified rule",IF(E384&gt;0.15,"Exclude: &gt;15% missing",IF(G384="FLAG","Retain; test in robustness battery","Retain"))))</f>
        <v/>
      </c>
    </row>
    <row r="385">
      <c r="A385" s="55" t="n">
        <v>382</v>
      </c>
      <c r="B385" s="55">
        <f>IF('04_DATA'!A382="","",'04_DATA'!A382)</f>
        <v/>
      </c>
      <c r="C385" s="55">
        <f>IF('04_DATA'!A382="","",IF(AND('04_DATA'!G382=1,'04_DATA'!H382=1,'04_DATA'!I382&gt;=3),"eligible","EXCLUDE"))</f>
        <v/>
      </c>
      <c r="D385" s="55">
        <f>IF('04_DATA'!A382="","",37-COUNT('04_DATA'!$K382:$AU382))</f>
        <v/>
      </c>
      <c r="E385" s="63">
        <f>IF('04_DATA'!A382="","",(37-COUNT('04_DATA'!$K382:$AU382))/37)</f>
        <v/>
      </c>
      <c r="F385" s="55">
        <f>IF('04_DATA'!A382="","",IF(AND(COUNT('04_DATA'!$K382:$AU382)=37,COUNTIF('04_DATA'!$K382:$AU382,INDEX('04_DATA'!$K382:$AU382,1))=37),"EXCLUDE","ok"))</f>
        <v/>
      </c>
      <c r="G385" s="55">
        <f>IF('04_DATA'!A382="","",IF('04_DATA'!D382&lt;PERCENTILE('04_DATA'!$D$2:$D$1001,0.05),"FLAG","ok"))</f>
        <v/>
      </c>
      <c r="H385" s="55">
        <f>IF('04_DATA'!A382="","",IF(OR(C385="EXCLUDE",F385="EXCLUDE"),"Exclude under pre-specified rule",IF(E385&gt;0.15,"Exclude: &gt;15% missing",IF(G385="FLAG","Retain; test in robustness battery","Retain"))))</f>
        <v/>
      </c>
    </row>
    <row r="386">
      <c r="A386" s="55" t="n">
        <v>383</v>
      </c>
      <c r="B386" s="55">
        <f>IF('04_DATA'!A383="","",'04_DATA'!A383)</f>
        <v/>
      </c>
      <c r="C386" s="55">
        <f>IF('04_DATA'!A383="","",IF(AND('04_DATA'!G383=1,'04_DATA'!H383=1,'04_DATA'!I383&gt;=3),"eligible","EXCLUDE"))</f>
        <v/>
      </c>
      <c r="D386" s="55">
        <f>IF('04_DATA'!A383="","",37-COUNT('04_DATA'!$K383:$AU383))</f>
        <v/>
      </c>
      <c r="E386" s="63">
        <f>IF('04_DATA'!A383="","",(37-COUNT('04_DATA'!$K383:$AU383))/37)</f>
        <v/>
      </c>
      <c r="F386" s="55">
        <f>IF('04_DATA'!A383="","",IF(AND(COUNT('04_DATA'!$K383:$AU383)=37,COUNTIF('04_DATA'!$K383:$AU383,INDEX('04_DATA'!$K383:$AU383,1))=37),"EXCLUDE","ok"))</f>
        <v/>
      </c>
      <c r="G386" s="55">
        <f>IF('04_DATA'!A383="","",IF('04_DATA'!D383&lt;PERCENTILE('04_DATA'!$D$2:$D$1001,0.05),"FLAG","ok"))</f>
        <v/>
      </c>
      <c r="H386" s="55">
        <f>IF('04_DATA'!A383="","",IF(OR(C386="EXCLUDE",F386="EXCLUDE"),"Exclude under pre-specified rule",IF(E386&gt;0.15,"Exclude: &gt;15% missing",IF(G386="FLAG","Retain; test in robustness battery","Retain"))))</f>
        <v/>
      </c>
    </row>
    <row r="387">
      <c r="A387" s="55" t="n">
        <v>384</v>
      </c>
      <c r="B387" s="55">
        <f>IF('04_DATA'!A384="","",'04_DATA'!A384)</f>
        <v/>
      </c>
      <c r="C387" s="55">
        <f>IF('04_DATA'!A384="","",IF(AND('04_DATA'!G384=1,'04_DATA'!H384=1,'04_DATA'!I384&gt;=3),"eligible","EXCLUDE"))</f>
        <v/>
      </c>
      <c r="D387" s="55">
        <f>IF('04_DATA'!A384="","",37-COUNT('04_DATA'!$K384:$AU384))</f>
        <v/>
      </c>
      <c r="E387" s="63">
        <f>IF('04_DATA'!A384="","",(37-COUNT('04_DATA'!$K384:$AU384))/37)</f>
        <v/>
      </c>
      <c r="F387" s="55">
        <f>IF('04_DATA'!A384="","",IF(AND(COUNT('04_DATA'!$K384:$AU384)=37,COUNTIF('04_DATA'!$K384:$AU384,INDEX('04_DATA'!$K384:$AU384,1))=37),"EXCLUDE","ok"))</f>
        <v/>
      </c>
      <c r="G387" s="55">
        <f>IF('04_DATA'!A384="","",IF('04_DATA'!D384&lt;PERCENTILE('04_DATA'!$D$2:$D$1001,0.05),"FLAG","ok"))</f>
        <v/>
      </c>
      <c r="H387" s="55">
        <f>IF('04_DATA'!A384="","",IF(OR(C387="EXCLUDE",F387="EXCLUDE"),"Exclude under pre-specified rule",IF(E387&gt;0.15,"Exclude: &gt;15% missing",IF(G387="FLAG","Retain; test in robustness battery","Retain"))))</f>
        <v/>
      </c>
    </row>
    <row r="388">
      <c r="A388" s="55" t="n">
        <v>385</v>
      </c>
      <c r="B388" s="55">
        <f>IF('04_DATA'!A385="","",'04_DATA'!A385)</f>
        <v/>
      </c>
      <c r="C388" s="55">
        <f>IF('04_DATA'!A385="","",IF(AND('04_DATA'!G385=1,'04_DATA'!H385=1,'04_DATA'!I385&gt;=3),"eligible","EXCLUDE"))</f>
        <v/>
      </c>
      <c r="D388" s="55">
        <f>IF('04_DATA'!A385="","",37-COUNT('04_DATA'!$K385:$AU385))</f>
        <v/>
      </c>
      <c r="E388" s="63">
        <f>IF('04_DATA'!A385="","",(37-COUNT('04_DATA'!$K385:$AU385))/37)</f>
        <v/>
      </c>
      <c r="F388" s="55">
        <f>IF('04_DATA'!A385="","",IF(AND(COUNT('04_DATA'!$K385:$AU385)=37,COUNTIF('04_DATA'!$K385:$AU385,INDEX('04_DATA'!$K385:$AU385,1))=37),"EXCLUDE","ok"))</f>
        <v/>
      </c>
      <c r="G388" s="55">
        <f>IF('04_DATA'!A385="","",IF('04_DATA'!D385&lt;PERCENTILE('04_DATA'!$D$2:$D$1001,0.05),"FLAG","ok"))</f>
        <v/>
      </c>
      <c r="H388" s="55">
        <f>IF('04_DATA'!A385="","",IF(OR(C388="EXCLUDE",F388="EXCLUDE"),"Exclude under pre-specified rule",IF(E388&gt;0.15,"Exclude: &gt;15% missing",IF(G388="FLAG","Retain; test in robustness battery","Retain"))))</f>
        <v/>
      </c>
    </row>
    <row r="389">
      <c r="A389" s="55" t="n">
        <v>386</v>
      </c>
      <c r="B389" s="55">
        <f>IF('04_DATA'!A386="","",'04_DATA'!A386)</f>
        <v/>
      </c>
      <c r="C389" s="55">
        <f>IF('04_DATA'!A386="","",IF(AND('04_DATA'!G386=1,'04_DATA'!H386=1,'04_DATA'!I386&gt;=3),"eligible","EXCLUDE"))</f>
        <v/>
      </c>
      <c r="D389" s="55">
        <f>IF('04_DATA'!A386="","",37-COUNT('04_DATA'!$K386:$AU386))</f>
        <v/>
      </c>
      <c r="E389" s="63">
        <f>IF('04_DATA'!A386="","",(37-COUNT('04_DATA'!$K386:$AU386))/37)</f>
        <v/>
      </c>
      <c r="F389" s="55">
        <f>IF('04_DATA'!A386="","",IF(AND(COUNT('04_DATA'!$K386:$AU386)=37,COUNTIF('04_DATA'!$K386:$AU386,INDEX('04_DATA'!$K386:$AU386,1))=37),"EXCLUDE","ok"))</f>
        <v/>
      </c>
      <c r="G389" s="55">
        <f>IF('04_DATA'!A386="","",IF('04_DATA'!D386&lt;PERCENTILE('04_DATA'!$D$2:$D$1001,0.05),"FLAG","ok"))</f>
        <v/>
      </c>
      <c r="H389" s="55">
        <f>IF('04_DATA'!A386="","",IF(OR(C389="EXCLUDE",F389="EXCLUDE"),"Exclude under pre-specified rule",IF(E389&gt;0.15,"Exclude: &gt;15% missing",IF(G389="FLAG","Retain; test in robustness battery","Retain"))))</f>
        <v/>
      </c>
    </row>
    <row r="390">
      <c r="A390" s="55" t="n">
        <v>387</v>
      </c>
      <c r="B390" s="55">
        <f>IF('04_DATA'!A387="","",'04_DATA'!A387)</f>
        <v/>
      </c>
      <c r="C390" s="55">
        <f>IF('04_DATA'!A387="","",IF(AND('04_DATA'!G387=1,'04_DATA'!H387=1,'04_DATA'!I387&gt;=3),"eligible","EXCLUDE"))</f>
        <v/>
      </c>
      <c r="D390" s="55">
        <f>IF('04_DATA'!A387="","",37-COUNT('04_DATA'!$K387:$AU387))</f>
        <v/>
      </c>
      <c r="E390" s="63">
        <f>IF('04_DATA'!A387="","",(37-COUNT('04_DATA'!$K387:$AU387))/37)</f>
        <v/>
      </c>
      <c r="F390" s="55">
        <f>IF('04_DATA'!A387="","",IF(AND(COUNT('04_DATA'!$K387:$AU387)=37,COUNTIF('04_DATA'!$K387:$AU387,INDEX('04_DATA'!$K387:$AU387,1))=37),"EXCLUDE","ok"))</f>
        <v/>
      </c>
      <c r="G390" s="55">
        <f>IF('04_DATA'!A387="","",IF('04_DATA'!D387&lt;PERCENTILE('04_DATA'!$D$2:$D$1001,0.05),"FLAG","ok"))</f>
        <v/>
      </c>
      <c r="H390" s="55">
        <f>IF('04_DATA'!A387="","",IF(OR(C390="EXCLUDE",F390="EXCLUDE"),"Exclude under pre-specified rule",IF(E390&gt;0.15,"Exclude: &gt;15% missing",IF(G390="FLAG","Retain; test in robustness battery","Retain"))))</f>
        <v/>
      </c>
    </row>
    <row r="391">
      <c r="A391" s="55" t="n">
        <v>388</v>
      </c>
      <c r="B391" s="55">
        <f>IF('04_DATA'!A388="","",'04_DATA'!A388)</f>
        <v/>
      </c>
      <c r="C391" s="55">
        <f>IF('04_DATA'!A388="","",IF(AND('04_DATA'!G388=1,'04_DATA'!H388=1,'04_DATA'!I388&gt;=3),"eligible","EXCLUDE"))</f>
        <v/>
      </c>
      <c r="D391" s="55">
        <f>IF('04_DATA'!A388="","",37-COUNT('04_DATA'!$K388:$AU388))</f>
        <v/>
      </c>
      <c r="E391" s="63">
        <f>IF('04_DATA'!A388="","",(37-COUNT('04_DATA'!$K388:$AU388))/37)</f>
        <v/>
      </c>
      <c r="F391" s="55">
        <f>IF('04_DATA'!A388="","",IF(AND(COUNT('04_DATA'!$K388:$AU388)=37,COUNTIF('04_DATA'!$K388:$AU388,INDEX('04_DATA'!$K388:$AU388,1))=37),"EXCLUDE","ok"))</f>
        <v/>
      </c>
      <c r="G391" s="55">
        <f>IF('04_DATA'!A388="","",IF('04_DATA'!D388&lt;PERCENTILE('04_DATA'!$D$2:$D$1001,0.05),"FLAG","ok"))</f>
        <v/>
      </c>
      <c r="H391" s="55">
        <f>IF('04_DATA'!A388="","",IF(OR(C391="EXCLUDE",F391="EXCLUDE"),"Exclude under pre-specified rule",IF(E391&gt;0.15,"Exclude: &gt;15% missing",IF(G391="FLAG","Retain; test in robustness battery","Retain"))))</f>
        <v/>
      </c>
    </row>
    <row r="392">
      <c r="A392" s="55" t="n">
        <v>389</v>
      </c>
      <c r="B392" s="55">
        <f>IF('04_DATA'!A389="","",'04_DATA'!A389)</f>
        <v/>
      </c>
      <c r="C392" s="55">
        <f>IF('04_DATA'!A389="","",IF(AND('04_DATA'!G389=1,'04_DATA'!H389=1,'04_DATA'!I389&gt;=3),"eligible","EXCLUDE"))</f>
        <v/>
      </c>
      <c r="D392" s="55">
        <f>IF('04_DATA'!A389="","",37-COUNT('04_DATA'!$K389:$AU389))</f>
        <v/>
      </c>
      <c r="E392" s="63">
        <f>IF('04_DATA'!A389="","",(37-COUNT('04_DATA'!$K389:$AU389))/37)</f>
        <v/>
      </c>
      <c r="F392" s="55">
        <f>IF('04_DATA'!A389="","",IF(AND(COUNT('04_DATA'!$K389:$AU389)=37,COUNTIF('04_DATA'!$K389:$AU389,INDEX('04_DATA'!$K389:$AU389,1))=37),"EXCLUDE","ok"))</f>
        <v/>
      </c>
      <c r="G392" s="55">
        <f>IF('04_DATA'!A389="","",IF('04_DATA'!D389&lt;PERCENTILE('04_DATA'!$D$2:$D$1001,0.05),"FLAG","ok"))</f>
        <v/>
      </c>
      <c r="H392" s="55">
        <f>IF('04_DATA'!A389="","",IF(OR(C392="EXCLUDE",F392="EXCLUDE"),"Exclude under pre-specified rule",IF(E392&gt;0.15,"Exclude: &gt;15% missing",IF(G392="FLAG","Retain; test in robustness battery","Retain"))))</f>
        <v/>
      </c>
    </row>
    <row r="393">
      <c r="A393" s="55" t="n">
        <v>390</v>
      </c>
      <c r="B393" s="55">
        <f>IF('04_DATA'!A390="","",'04_DATA'!A390)</f>
        <v/>
      </c>
      <c r="C393" s="55">
        <f>IF('04_DATA'!A390="","",IF(AND('04_DATA'!G390=1,'04_DATA'!H390=1,'04_DATA'!I390&gt;=3),"eligible","EXCLUDE"))</f>
        <v/>
      </c>
      <c r="D393" s="55">
        <f>IF('04_DATA'!A390="","",37-COUNT('04_DATA'!$K390:$AU390))</f>
        <v/>
      </c>
      <c r="E393" s="63">
        <f>IF('04_DATA'!A390="","",(37-COUNT('04_DATA'!$K390:$AU390))/37)</f>
        <v/>
      </c>
      <c r="F393" s="55">
        <f>IF('04_DATA'!A390="","",IF(AND(COUNT('04_DATA'!$K390:$AU390)=37,COUNTIF('04_DATA'!$K390:$AU390,INDEX('04_DATA'!$K390:$AU390,1))=37),"EXCLUDE","ok"))</f>
        <v/>
      </c>
      <c r="G393" s="55">
        <f>IF('04_DATA'!A390="","",IF('04_DATA'!D390&lt;PERCENTILE('04_DATA'!$D$2:$D$1001,0.05),"FLAG","ok"))</f>
        <v/>
      </c>
      <c r="H393" s="55">
        <f>IF('04_DATA'!A390="","",IF(OR(C393="EXCLUDE",F393="EXCLUDE"),"Exclude under pre-specified rule",IF(E393&gt;0.15,"Exclude: &gt;15% missing",IF(G393="FLAG","Retain; test in robustness battery","Retain"))))</f>
        <v/>
      </c>
    </row>
    <row r="394">
      <c r="A394" s="55" t="n">
        <v>391</v>
      </c>
      <c r="B394" s="55">
        <f>IF('04_DATA'!A391="","",'04_DATA'!A391)</f>
        <v/>
      </c>
      <c r="C394" s="55">
        <f>IF('04_DATA'!A391="","",IF(AND('04_DATA'!G391=1,'04_DATA'!H391=1,'04_DATA'!I391&gt;=3),"eligible","EXCLUDE"))</f>
        <v/>
      </c>
      <c r="D394" s="55">
        <f>IF('04_DATA'!A391="","",37-COUNT('04_DATA'!$K391:$AU391))</f>
        <v/>
      </c>
      <c r="E394" s="63">
        <f>IF('04_DATA'!A391="","",(37-COUNT('04_DATA'!$K391:$AU391))/37)</f>
        <v/>
      </c>
      <c r="F394" s="55">
        <f>IF('04_DATA'!A391="","",IF(AND(COUNT('04_DATA'!$K391:$AU391)=37,COUNTIF('04_DATA'!$K391:$AU391,INDEX('04_DATA'!$K391:$AU391,1))=37),"EXCLUDE","ok"))</f>
        <v/>
      </c>
      <c r="G394" s="55">
        <f>IF('04_DATA'!A391="","",IF('04_DATA'!D391&lt;PERCENTILE('04_DATA'!$D$2:$D$1001,0.05),"FLAG","ok"))</f>
        <v/>
      </c>
      <c r="H394" s="55">
        <f>IF('04_DATA'!A391="","",IF(OR(C394="EXCLUDE",F394="EXCLUDE"),"Exclude under pre-specified rule",IF(E394&gt;0.15,"Exclude: &gt;15% missing",IF(G394="FLAG","Retain; test in robustness battery","Retain"))))</f>
        <v/>
      </c>
    </row>
    <row r="395">
      <c r="A395" s="55" t="n">
        <v>392</v>
      </c>
      <c r="B395" s="55">
        <f>IF('04_DATA'!A392="","",'04_DATA'!A392)</f>
        <v/>
      </c>
      <c r="C395" s="55">
        <f>IF('04_DATA'!A392="","",IF(AND('04_DATA'!G392=1,'04_DATA'!H392=1,'04_DATA'!I392&gt;=3),"eligible","EXCLUDE"))</f>
        <v/>
      </c>
      <c r="D395" s="55">
        <f>IF('04_DATA'!A392="","",37-COUNT('04_DATA'!$K392:$AU392))</f>
        <v/>
      </c>
      <c r="E395" s="63">
        <f>IF('04_DATA'!A392="","",(37-COUNT('04_DATA'!$K392:$AU392))/37)</f>
        <v/>
      </c>
      <c r="F395" s="55">
        <f>IF('04_DATA'!A392="","",IF(AND(COUNT('04_DATA'!$K392:$AU392)=37,COUNTIF('04_DATA'!$K392:$AU392,INDEX('04_DATA'!$K392:$AU392,1))=37),"EXCLUDE","ok"))</f>
        <v/>
      </c>
      <c r="G395" s="55">
        <f>IF('04_DATA'!A392="","",IF('04_DATA'!D392&lt;PERCENTILE('04_DATA'!$D$2:$D$1001,0.05),"FLAG","ok"))</f>
        <v/>
      </c>
      <c r="H395" s="55">
        <f>IF('04_DATA'!A392="","",IF(OR(C395="EXCLUDE",F395="EXCLUDE"),"Exclude under pre-specified rule",IF(E395&gt;0.15,"Exclude: &gt;15% missing",IF(G395="FLAG","Retain; test in robustness battery","Retain"))))</f>
        <v/>
      </c>
    </row>
    <row r="396">
      <c r="A396" s="55" t="n">
        <v>393</v>
      </c>
      <c r="B396" s="55">
        <f>IF('04_DATA'!A393="","",'04_DATA'!A393)</f>
        <v/>
      </c>
      <c r="C396" s="55">
        <f>IF('04_DATA'!A393="","",IF(AND('04_DATA'!G393=1,'04_DATA'!H393=1,'04_DATA'!I393&gt;=3),"eligible","EXCLUDE"))</f>
        <v/>
      </c>
      <c r="D396" s="55">
        <f>IF('04_DATA'!A393="","",37-COUNT('04_DATA'!$K393:$AU393))</f>
        <v/>
      </c>
      <c r="E396" s="63">
        <f>IF('04_DATA'!A393="","",(37-COUNT('04_DATA'!$K393:$AU393))/37)</f>
        <v/>
      </c>
      <c r="F396" s="55">
        <f>IF('04_DATA'!A393="","",IF(AND(COUNT('04_DATA'!$K393:$AU393)=37,COUNTIF('04_DATA'!$K393:$AU393,INDEX('04_DATA'!$K393:$AU393,1))=37),"EXCLUDE","ok"))</f>
        <v/>
      </c>
      <c r="G396" s="55">
        <f>IF('04_DATA'!A393="","",IF('04_DATA'!D393&lt;PERCENTILE('04_DATA'!$D$2:$D$1001,0.05),"FLAG","ok"))</f>
        <v/>
      </c>
      <c r="H396" s="55">
        <f>IF('04_DATA'!A393="","",IF(OR(C396="EXCLUDE",F396="EXCLUDE"),"Exclude under pre-specified rule",IF(E396&gt;0.15,"Exclude: &gt;15% missing",IF(G396="FLAG","Retain; test in robustness battery","Retain"))))</f>
        <v/>
      </c>
    </row>
    <row r="397">
      <c r="A397" s="55" t="n">
        <v>394</v>
      </c>
      <c r="B397" s="55">
        <f>IF('04_DATA'!A394="","",'04_DATA'!A394)</f>
        <v/>
      </c>
      <c r="C397" s="55">
        <f>IF('04_DATA'!A394="","",IF(AND('04_DATA'!G394=1,'04_DATA'!H394=1,'04_DATA'!I394&gt;=3),"eligible","EXCLUDE"))</f>
        <v/>
      </c>
      <c r="D397" s="55">
        <f>IF('04_DATA'!A394="","",37-COUNT('04_DATA'!$K394:$AU394))</f>
        <v/>
      </c>
      <c r="E397" s="63">
        <f>IF('04_DATA'!A394="","",(37-COUNT('04_DATA'!$K394:$AU394))/37)</f>
        <v/>
      </c>
      <c r="F397" s="55">
        <f>IF('04_DATA'!A394="","",IF(AND(COUNT('04_DATA'!$K394:$AU394)=37,COUNTIF('04_DATA'!$K394:$AU394,INDEX('04_DATA'!$K394:$AU394,1))=37),"EXCLUDE","ok"))</f>
        <v/>
      </c>
      <c r="G397" s="55">
        <f>IF('04_DATA'!A394="","",IF('04_DATA'!D394&lt;PERCENTILE('04_DATA'!$D$2:$D$1001,0.05),"FLAG","ok"))</f>
        <v/>
      </c>
      <c r="H397" s="55">
        <f>IF('04_DATA'!A394="","",IF(OR(C397="EXCLUDE",F397="EXCLUDE"),"Exclude under pre-specified rule",IF(E397&gt;0.15,"Exclude: &gt;15% missing",IF(G397="FLAG","Retain; test in robustness battery","Retain"))))</f>
        <v/>
      </c>
    </row>
    <row r="398">
      <c r="A398" s="55" t="n">
        <v>395</v>
      </c>
      <c r="B398" s="55">
        <f>IF('04_DATA'!A395="","",'04_DATA'!A395)</f>
        <v/>
      </c>
      <c r="C398" s="55">
        <f>IF('04_DATA'!A395="","",IF(AND('04_DATA'!G395=1,'04_DATA'!H395=1,'04_DATA'!I395&gt;=3),"eligible","EXCLUDE"))</f>
        <v/>
      </c>
      <c r="D398" s="55">
        <f>IF('04_DATA'!A395="","",37-COUNT('04_DATA'!$K395:$AU395))</f>
        <v/>
      </c>
      <c r="E398" s="63">
        <f>IF('04_DATA'!A395="","",(37-COUNT('04_DATA'!$K395:$AU395))/37)</f>
        <v/>
      </c>
      <c r="F398" s="55">
        <f>IF('04_DATA'!A395="","",IF(AND(COUNT('04_DATA'!$K395:$AU395)=37,COUNTIF('04_DATA'!$K395:$AU395,INDEX('04_DATA'!$K395:$AU395,1))=37),"EXCLUDE","ok"))</f>
        <v/>
      </c>
      <c r="G398" s="55">
        <f>IF('04_DATA'!A395="","",IF('04_DATA'!D395&lt;PERCENTILE('04_DATA'!$D$2:$D$1001,0.05),"FLAG","ok"))</f>
        <v/>
      </c>
      <c r="H398" s="55">
        <f>IF('04_DATA'!A395="","",IF(OR(C398="EXCLUDE",F398="EXCLUDE"),"Exclude under pre-specified rule",IF(E398&gt;0.15,"Exclude: &gt;15% missing",IF(G398="FLAG","Retain; test in robustness battery","Retain"))))</f>
        <v/>
      </c>
    </row>
    <row r="399">
      <c r="A399" s="55" t="n">
        <v>396</v>
      </c>
      <c r="B399" s="55">
        <f>IF('04_DATA'!A396="","",'04_DATA'!A396)</f>
        <v/>
      </c>
      <c r="C399" s="55">
        <f>IF('04_DATA'!A396="","",IF(AND('04_DATA'!G396=1,'04_DATA'!H396=1,'04_DATA'!I396&gt;=3),"eligible","EXCLUDE"))</f>
        <v/>
      </c>
      <c r="D399" s="55">
        <f>IF('04_DATA'!A396="","",37-COUNT('04_DATA'!$K396:$AU396))</f>
        <v/>
      </c>
      <c r="E399" s="63">
        <f>IF('04_DATA'!A396="","",(37-COUNT('04_DATA'!$K396:$AU396))/37)</f>
        <v/>
      </c>
      <c r="F399" s="55">
        <f>IF('04_DATA'!A396="","",IF(AND(COUNT('04_DATA'!$K396:$AU396)=37,COUNTIF('04_DATA'!$K396:$AU396,INDEX('04_DATA'!$K396:$AU396,1))=37),"EXCLUDE","ok"))</f>
        <v/>
      </c>
      <c r="G399" s="55">
        <f>IF('04_DATA'!A396="","",IF('04_DATA'!D396&lt;PERCENTILE('04_DATA'!$D$2:$D$1001,0.05),"FLAG","ok"))</f>
        <v/>
      </c>
      <c r="H399" s="55">
        <f>IF('04_DATA'!A396="","",IF(OR(C399="EXCLUDE",F399="EXCLUDE"),"Exclude under pre-specified rule",IF(E399&gt;0.15,"Exclude: &gt;15% missing",IF(G399="FLAG","Retain; test in robustness battery","Retain"))))</f>
        <v/>
      </c>
    </row>
    <row r="400">
      <c r="A400" s="55" t="n">
        <v>397</v>
      </c>
      <c r="B400" s="55">
        <f>IF('04_DATA'!A397="","",'04_DATA'!A397)</f>
        <v/>
      </c>
      <c r="C400" s="55">
        <f>IF('04_DATA'!A397="","",IF(AND('04_DATA'!G397=1,'04_DATA'!H397=1,'04_DATA'!I397&gt;=3),"eligible","EXCLUDE"))</f>
        <v/>
      </c>
      <c r="D400" s="55">
        <f>IF('04_DATA'!A397="","",37-COUNT('04_DATA'!$K397:$AU397))</f>
        <v/>
      </c>
      <c r="E400" s="63">
        <f>IF('04_DATA'!A397="","",(37-COUNT('04_DATA'!$K397:$AU397))/37)</f>
        <v/>
      </c>
      <c r="F400" s="55">
        <f>IF('04_DATA'!A397="","",IF(AND(COUNT('04_DATA'!$K397:$AU397)=37,COUNTIF('04_DATA'!$K397:$AU397,INDEX('04_DATA'!$K397:$AU397,1))=37),"EXCLUDE","ok"))</f>
        <v/>
      </c>
      <c r="G400" s="55">
        <f>IF('04_DATA'!A397="","",IF('04_DATA'!D397&lt;PERCENTILE('04_DATA'!$D$2:$D$1001,0.05),"FLAG","ok"))</f>
        <v/>
      </c>
      <c r="H400" s="55">
        <f>IF('04_DATA'!A397="","",IF(OR(C400="EXCLUDE",F400="EXCLUDE"),"Exclude under pre-specified rule",IF(E400&gt;0.15,"Exclude: &gt;15% missing",IF(G400="FLAG","Retain; test in robustness battery","Retain"))))</f>
        <v/>
      </c>
    </row>
    <row r="401">
      <c r="A401" s="55" t="n">
        <v>398</v>
      </c>
      <c r="B401" s="55">
        <f>IF('04_DATA'!A398="","",'04_DATA'!A398)</f>
        <v/>
      </c>
      <c r="C401" s="55">
        <f>IF('04_DATA'!A398="","",IF(AND('04_DATA'!G398=1,'04_DATA'!H398=1,'04_DATA'!I398&gt;=3),"eligible","EXCLUDE"))</f>
        <v/>
      </c>
      <c r="D401" s="55">
        <f>IF('04_DATA'!A398="","",37-COUNT('04_DATA'!$K398:$AU398))</f>
        <v/>
      </c>
      <c r="E401" s="63">
        <f>IF('04_DATA'!A398="","",(37-COUNT('04_DATA'!$K398:$AU398))/37)</f>
        <v/>
      </c>
      <c r="F401" s="55">
        <f>IF('04_DATA'!A398="","",IF(AND(COUNT('04_DATA'!$K398:$AU398)=37,COUNTIF('04_DATA'!$K398:$AU398,INDEX('04_DATA'!$K398:$AU398,1))=37),"EXCLUDE","ok"))</f>
        <v/>
      </c>
      <c r="G401" s="55">
        <f>IF('04_DATA'!A398="","",IF('04_DATA'!D398&lt;PERCENTILE('04_DATA'!$D$2:$D$1001,0.05),"FLAG","ok"))</f>
        <v/>
      </c>
      <c r="H401" s="55">
        <f>IF('04_DATA'!A398="","",IF(OR(C401="EXCLUDE",F401="EXCLUDE"),"Exclude under pre-specified rule",IF(E401&gt;0.15,"Exclude: &gt;15% missing",IF(G401="FLAG","Retain; test in robustness battery","Retain"))))</f>
        <v/>
      </c>
    </row>
    <row r="402">
      <c r="A402" s="55" t="n">
        <v>399</v>
      </c>
      <c r="B402" s="55">
        <f>IF('04_DATA'!A399="","",'04_DATA'!A399)</f>
        <v/>
      </c>
      <c r="C402" s="55">
        <f>IF('04_DATA'!A399="","",IF(AND('04_DATA'!G399=1,'04_DATA'!H399=1,'04_DATA'!I399&gt;=3),"eligible","EXCLUDE"))</f>
        <v/>
      </c>
      <c r="D402" s="55">
        <f>IF('04_DATA'!A399="","",37-COUNT('04_DATA'!$K399:$AU399))</f>
        <v/>
      </c>
      <c r="E402" s="63">
        <f>IF('04_DATA'!A399="","",(37-COUNT('04_DATA'!$K399:$AU399))/37)</f>
        <v/>
      </c>
      <c r="F402" s="55">
        <f>IF('04_DATA'!A399="","",IF(AND(COUNT('04_DATA'!$K399:$AU399)=37,COUNTIF('04_DATA'!$K399:$AU399,INDEX('04_DATA'!$K399:$AU399,1))=37),"EXCLUDE","ok"))</f>
        <v/>
      </c>
      <c r="G402" s="55">
        <f>IF('04_DATA'!A399="","",IF('04_DATA'!D399&lt;PERCENTILE('04_DATA'!$D$2:$D$1001,0.05),"FLAG","ok"))</f>
        <v/>
      </c>
      <c r="H402" s="55">
        <f>IF('04_DATA'!A399="","",IF(OR(C402="EXCLUDE",F402="EXCLUDE"),"Exclude under pre-specified rule",IF(E402&gt;0.15,"Exclude: &gt;15% missing",IF(G402="FLAG","Retain; test in robustness battery","Retain"))))</f>
        <v/>
      </c>
    </row>
    <row r="403">
      <c r="A403" s="55" t="n">
        <v>400</v>
      </c>
      <c r="B403" s="55">
        <f>IF('04_DATA'!A400="","",'04_DATA'!A400)</f>
        <v/>
      </c>
      <c r="C403" s="55">
        <f>IF('04_DATA'!A400="","",IF(AND('04_DATA'!G400=1,'04_DATA'!H400=1,'04_DATA'!I400&gt;=3),"eligible","EXCLUDE"))</f>
        <v/>
      </c>
      <c r="D403" s="55">
        <f>IF('04_DATA'!A400="","",37-COUNT('04_DATA'!$K400:$AU400))</f>
        <v/>
      </c>
      <c r="E403" s="63">
        <f>IF('04_DATA'!A400="","",(37-COUNT('04_DATA'!$K400:$AU400))/37)</f>
        <v/>
      </c>
      <c r="F403" s="55">
        <f>IF('04_DATA'!A400="","",IF(AND(COUNT('04_DATA'!$K400:$AU400)=37,COUNTIF('04_DATA'!$K400:$AU400,INDEX('04_DATA'!$K400:$AU400,1))=37),"EXCLUDE","ok"))</f>
        <v/>
      </c>
      <c r="G403" s="55">
        <f>IF('04_DATA'!A400="","",IF('04_DATA'!D400&lt;PERCENTILE('04_DATA'!$D$2:$D$1001,0.05),"FLAG","ok"))</f>
        <v/>
      </c>
      <c r="H403" s="55">
        <f>IF('04_DATA'!A400="","",IF(OR(C403="EXCLUDE",F403="EXCLUDE"),"Exclude under pre-specified rule",IF(E403&gt;0.15,"Exclude: &gt;15% missing",IF(G403="FLAG","Retain; test in robustness battery","Retain"))))</f>
        <v/>
      </c>
    </row>
    <row r="404">
      <c r="A404" s="55" t="n">
        <v>401</v>
      </c>
      <c r="B404" s="55">
        <f>IF('04_DATA'!A401="","",'04_DATA'!A401)</f>
        <v/>
      </c>
      <c r="C404" s="55">
        <f>IF('04_DATA'!A401="","",IF(AND('04_DATA'!G401=1,'04_DATA'!H401=1,'04_DATA'!I401&gt;=3),"eligible","EXCLUDE"))</f>
        <v/>
      </c>
      <c r="D404" s="55">
        <f>IF('04_DATA'!A401="","",37-COUNT('04_DATA'!$K401:$AU401))</f>
        <v/>
      </c>
      <c r="E404" s="63">
        <f>IF('04_DATA'!A401="","",(37-COUNT('04_DATA'!$K401:$AU401))/37)</f>
        <v/>
      </c>
      <c r="F404" s="55">
        <f>IF('04_DATA'!A401="","",IF(AND(COUNT('04_DATA'!$K401:$AU401)=37,COUNTIF('04_DATA'!$K401:$AU401,INDEX('04_DATA'!$K401:$AU401,1))=37),"EXCLUDE","ok"))</f>
        <v/>
      </c>
      <c r="G404" s="55">
        <f>IF('04_DATA'!A401="","",IF('04_DATA'!D401&lt;PERCENTILE('04_DATA'!$D$2:$D$1001,0.05),"FLAG","ok"))</f>
        <v/>
      </c>
      <c r="H404" s="55">
        <f>IF('04_DATA'!A401="","",IF(OR(C404="EXCLUDE",F404="EXCLUDE"),"Exclude under pre-specified rule",IF(E404&gt;0.15,"Exclude: &gt;15% missing",IF(G404="FLAG","Retain; test in robustness battery","Retain"))))</f>
        <v/>
      </c>
    </row>
    <row r="405">
      <c r="A405" s="55" t="n">
        <v>402</v>
      </c>
      <c r="B405" s="55">
        <f>IF('04_DATA'!A402="","",'04_DATA'!A402)</f>
        <v/>
      </c>
      <c r="C405" s="55">
        <f>IF('04_DATA'!A402="","",IF(AND('04_DATA'!G402=1,'04_DATA'!H402=1,'04_DATA'!I402&gt;=3),"eligible","EXCLUDE"))</f>
        <v/>
      </c>
      <c r="D405" s="55">
        <f>IF('04_DATA'!A402="","",37-COUNT('04_DATA'!$K402:$AU402))</f>
        <v/>
      </c>
      <c r="E405" s="63">
        <f>IF('04_DATA'!A402="","",(37-COUNT('04_DATA'!$K402:$AU402))/37)</f>
        <v/>
      </c>
      <c r="F405" s="55">
        <f>IF('04_DATA'!A402="","",IF(AND(COUNT('04_DATA'!$K402:$AU402)=37,COUNTIF('04_DATA'!$K402:$AU402,INDEX('04_DATA'!$K402:$AU402,1))=37),"EXCLUDE","ok"))</f>
        <v/>
      </c>
      <c r="G405" s="55">
        <f>IF('04_DATA'!A402="","",IF('04_DATA'!D402&lt;PERCENTILE('04_DATA'!$D$2:$D$1001,0.05),"FLAG","ok"))</f>
        <v/>
      </c>
      <c r="H405" s="55">
        <f>IF('04_DATA'!A402="","",IF(OR(C405="EXCLUDE",F405="EXCLUDE"),"Exclude under pre-specified rule",IF(E405&gt;0.15,"Exclude: &gt;15% missing",IF(G405="FLAG","Retain; test in robustness battery","Retain"))))</f>
        <v/>
      </c>
    </row>
    <row r="406">
      <c r="A406" s="55" t="n">
        <v>403</v>
      </c>
      <c r="B406" s="55">
        <f>IF('04_DATA'!A403="","",'04_DATA'!A403)</f>
        <v/>
      </c>
      <c r="C406" s="55">
        <f>IF('04_DATA'!A403="","",IF(AND('04_DATA'!G403=1,'04_DATA'!H403=1,'04_DATA'!I403&gt;=3),"eligible","EXCLUDE"))</f>
        <v/>
      </c>
      <c r="D406" s="55">
        <f>IF('04_DATA'!A403="","",37-COUNT('04_DATA'!$K403:$AU403))</f>
        <v/>
      </c>
      <c r="E406" s="63">
        <f>IF('04_DATA'!A403="","",(37-COUNT('04_DATA'!$K403:$AU403))/37)</f>
        <v/>
      </c>
      <c r="F406" s="55">
        <f>IF('04_DATA'!A403="","",IF(AND(COUNT('04_DATA'!$K403:$AU403)=37,COUNTIF('04_DATA'!$K403:$AU403,INDEX('04_DATA'!$K403:$AU403,1))=37),"EXCLUDE","ok"))</f>
        <v/>
      </c>
      <c r="G406" s="55">
        <f>IF('04_DATA'!A403="","",IF('04_DATA'!D403&lt;PERCENTILE('04_DATA'!$D$2:$D$1001,0.05),"FLAG","ok"))</f>
        <v/>
      </c>
      <c r="H406" s="55">
        <f>IF('04_DATA'!A403="","",IF(OR(C406="EXCLUDE",F406="EXCLUDE"),"Exclude under pre-specified rule",IF(E406&gt;0.15,"Exclude: &gt;15% missing",IF(G406="FLAG","Retain; test in robustness battery","Retain"))))</f>
        <v/>
      </c>
    </row>
    <row r="407">
      <c r="A407" s="55" t="n">
        <v>404</v>
      </c>
      <c r="B407" s="55">
        <f>IF('04_DATA'!A404="","",'04_DATA'!A404)</f>
        <v/>
      </c>
      <c r="C407" s="55">
        <f>IF('04_DATA'!A404="","",IF(AND('04_DATA'!G404=1,'04_DATA'!H404=1,'04_DATA'!I404&gt;=3),"eligible","EXCLUDE"))</f>
        <v/>
      </c>
      <c r="D407" s="55">
        <f>IF('04_DATA'!A404="","",37-COUNT('04_DATA'!$K404:$AU404))</f>
        <v/>
      </c>
      <c r="E407" s="63">
        <f>IF('04_DATA'!A404="","",(37-COUNT('04_DATA'!$K404:$AU404))/37)</f>
        <v/>
      </c>
      <c r="F407" s="55">
        <f>IF('04_DATA'!A404="","",IF(AND(COUNT('04_DATA'!$K404:$AU404)=37,COUNTIF('04_DATA'!$K404:$AU404,INDEX('04_DATA'!$K404:$AU404,1))=37),"EXCLUDE","ok"))</f>
        <v/>
      </c>
      <c r="G407" s="55">
        <f>IF('04_DATA'!A404="","",IF('04_DATA'!D404&lt;PERCENTILE('04_DATA'!$D$2:$D$1001,0.05),"FLAG","ok"))</f>
        <v/>
      </c>
      <c r="H407" s="55">
        <f>IF('04_DATA'!A404="","",IF(OR(C407="EXCLUDE",F407="EXCLUDE"),"Exclude under pre-specified rule",IF(E407&gt;0.15,"Exclude: &gt;15% missing",IF(G407="FLAG","Retain; test in robustness battery","Retain"))))</f>
        <v/>
      </c>
    </row>
    <row r="408">
      <c r="A408" s="55" t="n">
        <v>405</v>
      </c>
      <c r="B408" s="55">
        <f>IF('04_DATA'!A405="","",'04_DATA'!A405)</f>
        <v/>
      </c>
      <c r="C408" s="55">
        <f>IF('04_DATA'!A405="","",IF(AND('04_DATA'!G405=1,'04_DATA'!H405=1,'04_DATA'!I405&gt;=3),"eligible","EXCLUDE"))</f>
        <v/>
      </c>
      <c r="D408" s="55">
        <f>IF('04_DATA'!A405="","",37-COUNT('04_DATA'!$K405:$AU405))</f>
        <v/>
      </c>
      <c r="E408" s="63">
        <f>IF('04_DATA'!A405="","",(37-COUNT('04_DATA'!$K405:$AU405))/37)</f>
        <v/>
      </c>
      <c r="F408" s="55">
        <f>IF('04_DATA'!A405="","",IF(AND(COUNT('04_DATA'!$K405:$AU405)=37,COUNTIF('04_DATA'!$K405:$AU405,INDEX('04_DATA'!$K405:$AU405,1))=37),"EXCLUDE","ok"))</f>
        <v/>
      </c>
      <c r="G408" s="55">
        <f>IF('04_DATA'!A405="","",IF('04_DATA'!D405&lt;PERCENTILE('04_DATA'!$D$2:$D$1001,0.05),"FLAG","ok"))</f>
        <v/>
      </c>
      <c r="H408" s="55">
        <f>IF('04_DATA'!A405="","",IF(OR(C408="EXCLUDE",F408="EXCLUDE"),"Exclude under pre-specified rule",IF(E408&gt;0.15,"Exclude: &gt;15% missing",IF(G408="FLAG","Retain; test in robustness battery","Retain"))))</f>
        <v/>
      </c>
    </row>
    <row r="409">
      <c r="A409" s="55" t="n">
        <v>406</v>
      </c>
      <c r="B409" s="55">
        <f>IF('04_DATA'!A406="","",'04_DATA'!A406)</f>
        <v/>
      </c>
      <c r="C409" s="55">
        <f>IF('04_DATA'!A406="","",IF(AND('04_DATA'!G406=1,'04_DATA'!H406=1,'04_DATA'!I406&gt;=3),"eligible","EXCLUDE"))</f>
        <v/>
      </c>
      <c r="D409" s="55">
        <f>IF('04_DATA'!A406="","",37-COUNT('04_DATA'!$K406:$AU406))</f>
        <v/>
      </c>
      <c r="E409" s="63">
        <f>IF('04_DATA'!A406="","",(37-COUNT('04_DATA'!$K406:$AU406))/37)</f>
        <v/>
      </c>
      <c r="F409" s="55">
        <f>IF('04_DATA'!A406="","",IF(AND(COUNT('04_DATA'!$K406:$AU406)=37,COUNTIF('04_DATA'!$K406:$AU406,INDEX('04_DATA'!$K406:$AU406,1))=37),"EXCLUDE","ok"))</f>
        <v/>
      </c>
      <c r="G409" s="55">
        <f>IF('04_DATA'!A406="","",IF('04_DATA'!D406&lt;PERCENTILE('04_DATA'!$D$2:$D$1001,0.05),"FLAG","ok"))</f>
        <v/>
      </c>
      <c r="H409" s="55">
        <f>IF('04_DATA'!A406="","",IF(OR(C409="EXCLUDE",F409="EXCLUDE"),"Exclude under pre-specified rule",IF(E409&gt;0.15,"Exclude: &gt;15% missing",IF(G409="FLAG","Retain; test in robustness battery","Retain"))))</f>
        <v/>
      </c>
    </row>
    <row r="410">
      <c r="A410" s="55" t="n">
        <v>407</v>
      </c>
      <c r="B410" s="55">
        <f>IF('04_DATA'!A407="","",'04_DATA'!A407)</f>
        <v/>
      </c>
      <c r="C410" s="55">
        <f>IF('04_DATA'!A407="","",IF(AND('04_DATA'!G407=1,'04_DATA'!H407=1,'04_DATA'!I407&gt;=3),"eligible","EXCLUDE"))</f>
        <v/>
      </c>
      <c r="D410" s="55">
        <f>IF('04_DATA'!A407="","",37-COUNT('04_DATA'!$K407:$AU407))</f>
        <v/>
      </c>
      <c r="E410" s="63">
        <f>IF('04_DATA'!A407="","",(37-COUNT('04_DATA'!$K407:$AU407))/37)</f>
        <v/>
      </c>
      <c r="F410" s="55">
        <f>IF('04_DATA'!A407="","",IF(AND(COUNT('04_DATA'!$K407:$AU407)=37,COUNTIF('04_DATA'!$K407:$AU407,INDEX('04_DATA'!$K407:$AU407,1))=37),"EXCLUDE","ok"))</f>
        <v/>
      </c>
      <c r="G410" s="55">
        <f>IF('04_DATA'!A407="","",IF('04_DATA'!D407&lt;PERCENTILE('04_DATA'!$D$2:$D$1001,0.05),"FLAG","ok"))</f>
        <v/>
      </c>
      <c r="H410" s="55">
        <f>IF('04_DATA'!A407="","",IF(OR(C410="EXCLUDE",F410="EXCLUDE"),"Exclude under pre-specified rule",IF(E410&gt;0.15,"Exclude: &gt;15% missing",IF(G410="FLAG","Retain; test in robustness battery","Retain"))))</f>
        <v/>
      </c>
    </row>
    <row r="411">
      <c r="A411" s="55" t="n">
        <v>408</v>
      </c>
      <c r="B411" s="55">
        <f>IF('04_DATA'!A408="","",'04_DATA'!A408)</f>
        <v/>
      </c>
      <c r="C411" s="55">
        <f>IF('04_DATA'!A408="","",IF(AND('04_DATA'!G408=1,'04_DATA'!H408=1,'04_DATA'!I408&gt;=3),"eligible","EXCLUDE"))</f>
        <v/>
      </c>
      <c r="D411" s="55">
        <f>IF('04_DATA'!A408="","",37-COUNT('04_DATA'!$K408:$AU408))</f>
        <v/>
      </c>
      <c r="E411" s="63">
        <f>IF('04_DATA'!A408="","",(37-COUNT('04_DATA'!$K408:$AU408))/37)</f>
        <v/>
      </c>
      <c r="F411" s="55">
        <f>IF('04_DATA'!A408="","",IF(AND(COUNT('04_DATA'!$K408:$AU408)=37,COUNTIF('04_DATA'!$K408:$AU408,INDEX('04_DATA'!$K408:$AU408,1))=37),"EXCLUDE","ok"))</f>
        <v/>
      </c>
      <c r="G411" s="55">
        <f>IF('04_DATA'!A408="","",IF('04_DATA'!D408&lt;PERCENTILE('04_DATA'!$D$2:$D$1001,0.05),"FLAG","ok"))</f>
        <v/>
      </c>
      <c r="H411" s="55">
        <f>IF('04_DATA'!A408="","",IF(OR(C411="EXCLUDE",F411="EXCLUDE"),"Exclude under pre-specified rule",IF(E411&gt;0.15,"Exclude: &gt;15% missing",IF(G411="FLAG","Retain; test in robustness battery","Retain"))))</f>
        <v/>
      </c>
    </row>
    <row r="412">
      <c r="A412" s="55" t="n">
        <v>409</v>
      </c>
      <c r="B412" s="55">
        <f>IF('04_DATA'!A409="","",'04_DATA'!A409)</f>
        <v/>
      </c>
      <c r="C412" s="55">
        <f>IF('04_DATA'!A409="","",IF(AND('04_DATA'!G409=1,'04_DATA'!H409=1,'04_DATA'!I409&gt;=3),"eligible","EXCLUDE"))</f>
        <v/>
      </c>
      <c r="D412" s="55">
        <f>IF('04_DATA'!A409="","",37-COUNT('04_DATA'!$K409:$AU409))</f>
        <v/>
      </c>
      <c r="E412" s="63">
        <f>IF('04_DATA'!A409="","",(37-COUNT('04_DATA'!$K409:$AU409))/37)</f>
        <v/>
      </c>
      <c r="F412" s="55">
        <f>IF('04_DATA'!A409="","",IF(AND(COUNT('04_DATA'!$K409:$AU409)=37,COUNTIF('04_DATA'!$K409:$AU409,INDEX('04_DATA'!$K409:$AU409,1))=37),"EXCLUDE","ok"))</f>
        <v/>
      </c>
      <c r="G412" s="55">
        <f>IF('04_DATA'!A409="","",IF('04_DATA'!D409&lt;PERCENTILE('04_DATA'!$D$2:$D$1001,0.05),"FLAG","ok"))</f>
        <v/>
      </c>
      <c r="H412" s="55">
        <f>IF('04_DATA'!A409="","",IF(OR(C412="EXCLUDE",F412="EXCLUDE"),"Exclude under pre-specified rule",IF(E412&gt;0.15,"Exclude: &gt;15% missing",IF(G412="FLAG","Retain; test in robustness battery","Retain"))))</f>
        <v/>
      </c>
    </row>
    <row r="413">
      <c r="A413" s="55" t="n">
        <v>410</v>
      </c>
      <c r="B413" s="55">
        <f>IF('04_DATA'!A410="","",'04_DATA'!A410)</f>
        <v/>
      </c>
      <c r="C413" s="55">
        <f>IF('04_DATA'!A410="","",IF(AND('04_DATA'!G410=1,'04_DATA'!H410=1,'04_DATA'!I410&gt;=3),"eligible","EXCLUDE"))</f>
        <v/>
      </c>
      <c r="D413" s="55">
        <f>IF('04_DATA'!A410="","",37-COUNT('04_DATA'!$K410:$AU410))</f>
        <v/>
      </c>
      <c r="E413" s="63">
        <f>IF('04_DATA'!A410="","",(37-COUNT('04_DATA'!$K410:$AU410))/37)</f>
        <v/>
      </c>
      <c r="F413" s="55">
        <f>IF('04_DATA'!A410="","",IF(AND(COUNT('04_DATA'!$K410:$AU410)=37,COUNTIF('04_DATA'!$K410:$AU410,INDEX('04_DATA'!$K410:$AU410,1))=37),"EXCLUDE","ok"))</f>
        <v/>
      </c>
      <c r="G413" s="55">
        <f>IF('04_DATA'!A410="","",IF('04_DATA'!D410&lt;PERCENTILE('04_DATA'!$D$2:$D$1001,0.05),"FLAG","ok"))</f>
        <v/>
      </c>
      <c r="H413" s="55">
        <f>IF('04_DATA'!A410="","",IF(OR(C413="EXCLUDE",F413="EXCLUDE"),"Exclude under pre-specified rule",IF(E413&gt;0.15,"Exclude: &gt;15% missing",IF(G413="FLAG","Retain; test in robustness battery","Retain"))))</f>
        <v/>
      </c>
    </row>
    <row r="414">
      <c r="A414" s="55" t="n">
        <v>411</v>
      </c>
      <c r="B414" s="55">
        <f>IF('04_DATA'!A411="","",'04_DATA'!A411)</f>
        <v/>
      </c>
      <c r="C414" s="55">
        <f>IF('04_DATA'!A411="","",IF(AND('04_DATA'!G411=1,'04_DATA'!H411=1,'04_DATA'!I411&gt;=3),"eligible","EXCLUDE"))</f>
        <v/>
      </c>
      <c r="D414" s="55">
        <f>IF('04_DATA'!A411="","",37-COUNT('04_DATA'!$K411:$AU411))</f>
        <v/>
      </c>
      <c r="E414" s="63">
        <f>IF('04_DATA'!A411="","",(37-COUNT('04_DATA'!$K411:$AU411))/37)</f>
        <v/>
      </c>
      <c r="F414" s="55">
        <f>IF('04_DATA'!A411="","",IF(AND(COUNT('04_DATA'!$K411:$AU411)=37,COUNTIF('04_DATA'!$K411:$AU411,INDEX('04_DATA'!$K411:$AU411,1))=37),"EXCLUDE","ok"))</f>
        <v/>
      </c>
      <c r="G414" s="55">
        <f>IF('04_DATA'!A411="","",IF('04_DATA'!D411&lt;PERCENTILE('04_DATA'!$D$2:$D$1001,0.05),"FLAG","ok"))</f>
        <v/>
      </c>
      <c r="H414" s="55">
        <f>IF('04_DATA'!A411="","",IF(OR(C414="EXCLUDE",F414="EXCLUDE"),"Exclude under pre-specified rule",IF(E414&gt;0.15,"Exclude: &gt;15% missing",IF(G414="FLAG","Retain; test in robustness battery","Retain"))))</f>
        <v/>
      </c>
    </row>
    <row r="415">
      <c r="A415" s="55" t="n">
        <v>412</v>
      </c>
      <c r="B415" s="55">
        <f>IF('04_DATA'!A412="","",'04_DATA'!A412)</f>
        <v/>
      </c>
      <c r="C415" s="55">
        <f>IF('04_DATA'!A412="","",IF(AND('04_DATA'!G412=1,'04_DATA'!H412=1,'04_DATA'!I412&gt;=3),"eligible","EXCLUDE"))</f>
        <v/>
      </c>
      <c r="D415" s="55">
        <f>IF('04_DATA'!A412="","",37-COUNT('04_DATA'!$K412:$AU412))</f>
        <v/>
      </c>
      <c r="E415" s="63">
        <f>IF('04_DATA'!A412="","",(37-COUNT('04_DATA'!$K412:$AU412))/37)</f>
        <v/>
      </c>
      <c r="F415" s="55">
        <f>IF('04_DATA'!A412="","",IF(AND(COUNT('04_DATA'!$K412:$AU412)=37,COUNTIF('04_DATA'!$K412:$AU412,INDEX('04_DATA'!$K412:$AU412,1))=37),"EXCLUDE","ok"))</f>
        <v/>
      </c>
      <c r="G415" s="55">
        <f>IF('04_DATA'!A412="","",IF('04_DATA'!D412&lt;PERCENTILE('04_DATA'!$D$2:$D$1001,0.05),"FLAG","ok"))</f>
        <v/>
      </c>
      <c r="H415" s="55">
        <f>IF('04_DATA'!A412="","",IF(OR(C415="EXCLUDE",F415="EXCLUDE"),"Exclude under pre-specified rule",IF(E415&gt;0.15,"Exclude: &gt;15% missing",IF(G415="FLAG","Retain; test in robustness battery","Retain"))))</f>
        <v/>
      </c>
    </row>
    <row r="416">
      <c r="A416" s="55" t="n">
        <v>413</v>
      </c>
      <c r="B416" s="55">
        <f>IF('04_DATA'!A413="","",'04_DATA'!A413)</f>
        <v/>
      </c>
      <c r="C416" s="55">
        <f>IF('04_DATA'!A413="","",IF(AND('04_DATA'!G413=1,'04_DATA'!H413=1,'04_DATA'!I413&gt;=3),"eligible","EXCLUDE"))</f>
        <v/>
      </c>
      <c r="D416" s="55">
        <f>IF('04_DATA'!A413="","",37-COUNT('04_DATA'!$K413:$AU413))</f>
        <v/>
      </c>
      <c r="E416" s="63">
        <f>IF('04_DATA'!A413="","",(37-COUNT('04_DATA'!$K413:$AU413))/37)</f>
        <v/>
      </c>
      <c r="F416" s="55">
        <f>IF('04_DATA'!A413="","",IF(AND(COUNT('04_DATA'!$K413:$AU413)=37,COUNTIF('04_DATA'!$K413:$AU413,INDEX('04_DATA'!$K413:$AU413,1))=37),"EXCLUDE","ok"))</f>
        <v/>
      </c>
      <c r="G416" s="55">
        <f>IF('04_DATA'!A413="","",IF('04_DATA'!D413&lt;PERCENTILE('04_DATA'!$D$2:$D$1001,0.05),"FLAG","ok"))</f>
        <v/>
      </c>
      <c r="H416" s="55">
        <f>IF('04_DATA'!A413="","",IF(OR(C416="EXCLUDE",F416="EXCLUDE"),"Exclude under pre-specified rule",IF(E416&gt;0.15,"Exclude: &gt;15% missing",IF(G416="FLAG","Retain; test in robustness battery","Retain"))))</f>
        <v/>
      </c>
    </row>
    <row r="417">
      <c r="A417" s="55" t="n">
        <v>414</v>
      </c>
      <c r="B417" s="55">
        <f>IF('04_DATA'!A414="","",'04_DATA'!A414)</f>
        <v/>
      </c>
      <c r="C417" s="55">
        <f>IF('04_DATA'!A414="","",IF(AND('04_DATA'!G414=1,'04_DATA'!H414=1,'04_DATA'!I414&gt;=3),"eligible","EXCLUDE"))</f>
        <v/>
      </c>
      <c r="D417" s="55">
        <f>IF('04_DATA'!A414="","",37-COUNT('04_DATA'!$K414:$AU414))</f>
        <v/>
      </c>
      <c r="E417" s="63">
        <f>IF('04_DATA'!A414="","",(37-COUNT('04_DATA'!$K414:$AU414))/37)</f>
        <v/>
      </c>
      <c r="F417" s="55">
        <f>IF('04_DATA'!A414="","",IF(AND(COUNT('04_DATA'!$K414:$AU414)=37,COUNTIF('04_DATA'!$K414:$AU414,INDEX('04_DATA'!$K414:$AU414,1))=37),"EXCLUDE","ok"))</f>
        <v/>
      </c>
      <c r="G417" s="55">
        <f>IF('04_DATA'!A414="","",IF('04_DATA'!D414&lt;PERCENTILE('04_DATA'!$D$2:$D$1001,0.05),"FLAG","ok"))</f>
        <v/>
      </c>
      <c r="H417" s="55">
        <f>IF('04_DATA'!A414="","",IF(OR(C417="EXCLUDE",F417="EXCLUDE"),"Exclude under pre-specified rule",IF(E417&gt;0.15,"Exclude: &gt;15% missing",IF(G417="FLAG","Retain; test in robustness battery","Retain"))))</f>
        <v/>
      </c>
    </row>
    <row r="418">
      <c r="A418" s="55" t="n">
        <v>415</v>
      </c>
      <c r="B418" s="55">
        <f>IF('04_DATA'!A415="","",'04_DATA'!A415)</f>
        <v/>
      </c>
      <c r="C418" s="55">
        <f>IF('04_DATA'!A415="","",IF(AND('04_DATA'!G415=1,'04_DATA'!H415=1,'04_DATA'!I415&gt;=3),"eligible","EXCLUDE"))</f>
        <v/>
      </c>
      <c r="D418" s="55">
        <f>IF('04_DATA'!A415="","",37-COUNT('04_DATA'!$K415:$AU415))</f>
        <v/>
      </c>
      <c r="E418" s="63">
        <f>IF('04_DATA'!A415="","",(37-COUNT('04_DATA'!$K415:$AU415))/37)</f>
        <v/>
      </c>
      <c r="F418" s="55">
        <f>IF('04_DATA'!A415="","",IF(AND(COUNT('04_DATA'!$K415:$AU415)=37,COUNTIF('04_DATA'!$K415:$AU415,INDEX('04_DATA'!$K415:$AU415,1))=37),"EXCLUDE","ok"))</f>
        <v/>
      </c>
      <c r="G418" s="55">
        <f>IF('04_DATA'!A415="","",IF('04_DATA'!D415&lt;PERCENTILE('04_DATA'!$D$2:$D$1001,0.05),"FLAG","ok"))</f>
        <v/>
      </c>
      <c r="H418" s="55">
        <f>IF('04_DATA'!A415="","",IF(OR(C418="EXCLUDE",F418="EXCLUDE"),"Exclude under pre-specified rule",IF(E418&gt;0.15,"Exclude: &gt;15% missing",IF(G418="FLAG","Retain; test in robustness battery","Retain"))))</f>
        <v/>
      </c>
    </row>
    <row r="419">
      <c r="A419" s="55" t="n">
        <v>416</v>
      </c>
      <c r="B419" s="55">
        <f>IF('04_DATA'!A416="","",'04_DATA'!A416)</f>
        <v/>
      </c>
      <c r="C419" s="55">
        <f>IF('04_DATA'!A416="","",IF(AND('04_DATA'!G416=1,'04_DATA'!H416=1,'04_DATA'!I416&gt;=3),"eligible","EXCLUDE"))</f>
        <v/>
      </c>
      <c r="D419" s="55">
        <f>IF('04_DATA'!A416="","",37-COUNT('04_DATA'!$K416:$AU416))</f>
        <v/>
      </c>
      <c r="E419" s="63">
        <f>IF('04_DATA'!A416="","",(37-COUNT('04_DATA'!$K416:$AU416))/37)</f>
        <v/>
      </c>
      <c r="F419" s="55">
        <f>IF('04_DATA'!A416="","",IF(AND(COUNT('04_DATA'!$K416:$AU416)=37,COUNTIF('04_DATA'!$K416:$AU416,INDEX('04_DATA'!$K416:$AU416,1))=37),"EXCLUDE","ok"))</f>
        <v/>
      </c>
      <c r="G419" s="55">
        <f>IF('04_DATA'!A416="","",IF('04_DATA'!D416&lt;PERCENTILE('04_DATA'!$D$2:$D$1001,0.05),"FLAG","ok"))</f>
        <v/>
      </c>
      <c r="H419" s="55">
        <f>IF('04_DATA'!A416="","",IF(OR(C419="EXCLUDE",F419="EXCLUDE"),"Exclude under pre-specified rule",IF(E419&gt;0.15,"Exclude: &gt;15% missing",IF(G419="FLAG","Retain; test in robustness battery","Retain"))))</f>
        <v/>
      </c>
    </row>
    <row r="420">
      <c r="A420" s="55" t="n">
        <v>417</v>
      </c>
      <c r="B420" s="55">
        <f>IF('04_DATA'!A417="","",'04_DATA'!A417)</f>
        <v/>
      </c>
      <c r="C420" s="55">
        <f>IF('04_DATA'!A417="","",IF(AND('04_DATA'!G417=1,'04_DATA'!H417=1,'04_DATA'!I417&gt;=3),"eligible","EXCLUDE"))</f>
        <v/>
      </c>
      <c r="D420" s="55">
        <f>IF('04_DATA'!A417="","",37-COUNT('04_DATA'!$K417:$AU417))</f>
        <v/>
      </c>
      <c r="E420" s="63">
        <f>IF('04_DATA'!A417="","",(37-COUNT('04_DATA'!$K417:$AU417))/37)</f>
        <v/>
      </c>
      <c r="F420" s="55">
        <f>IF('04_DATA'!A417="","",IF(AND(COUNT('04_DATA'!$K417:$AU417)=37,COUNTIF('04_DATA'!$K417:$AU417,INDEX('04_DATA'!$K417:$AU417,1))=37),"EXCLUDE","ok"))</f>
        <v/>
      </c>
      <c r="G420" s="55">
        <f>IF('04_DATA'!A417="","",IF('04_DATA'!D417&lt;PERCENTILE('04_DATA'!$D$2:$D$1001,0.05),"FLAG","ok"))</f>
        <v/>
      </c>
      <c r="H420" s="55">
        <f>IF('04_DATA'!A417="","",IF(OR(C420="EXCLUDE",F420="EXCLUDE"),"Exclude under pre-specified rule",IF(E420&gt;0.15,"Exclude: &gt;15% missing",IF(G420="FLAG","Retain; test in robustness battery","Retain"))))</f>
        <v/>
      </c>
    </row>
    <row r="421">
      <c r="A421" s="55" t="n">
        <v>418</v>
      </c>
      <c r="B421" s="55">
        <f>IF('04_DATA'!A418="","",'04_DATA'!A418)</f>
        <v/>
      </c>
      <c r="C421" s="55">
        <f>IF('04_DATA'!A418="","",IF(AND('04_DATA'!G418=1,'04_DATA'!H418=1,'04_DATA'!I418&gt;=3),"eligible","EXCLUDE"))</f>
        <v/>
      </c>
      <c r="D421" s="55">
        <f>IF('04_DATA'!A418="","",37-COUNT('04_DATA'!$K418:$AU418))</f>
        <v/>
      </c>
      <c r="E421" s="63">
        <f>IF('04_DATA'!A418="","",(37-COUNT('04_DATA'!$K418:$AU418))/37)</f>
        <v/>
      </c>
      <c r="F421" s="55">
        <f>IF('04_DATA'!A418="","",IF(AND(COUNT('04_DATA'!$K418:$AU418)=37,COUNTIF('04_DATA'!$K418:$AU418,INDEX('04_DATA'!$K418:$AU418,1))=37),"EXCLUDE","ok"))</f>
        <v/>
      </c>
      <c r="G421" s="55">
        <f>IF('04_DATA'!A418="","",IF('04_DATA'!D418&lt;PERCENTILE('04_DATA'!$D$2:$D$1001,0.05),"FLAG","ok"))</f>
        <v/>
      </c>
      <c r="H421" s="55">
        <f>IF('04_DATA'!A418="","",IF(OR(C421="EXCLUDE",F421="EXCLUDE"),"Exclude under pre-specified rule",IF(E421&gt;0.15,"Exclude: &gt;15% missing",IF(G421="FLAG","Retain; test in robustness battery","Retain"))))</f>
        <v/>
      </c>
    </row>
    <row r="422">
      <c r="A422" s="55" t="n">
        <v>419</v>
      </c>
      <c r="B422" s="55">
        <f>IF('04_DATA'!A419="","",'04_DATA'!A419)</f>
        <v/>
      </c>
      <c r="C422" s="55">
        <f>IF('04_DATA'!A419="","",IF(AND('04_DATA'!G419=1,'04_DATA'!H419=1,'04_DATA'!I419&gt;=3),"eligible","EXCLUDE"))</f>
        <v/>
      </c>
      <c r="D422" s="55">
        <f>IF('04_DATA'!A419="","",37-COUNT('04_DATA'!$K419:$AU419))</f>
        <v/>
      </c>
      <c r="E422" s="63">
        <f>IF('04_DATA'!A419="","",(37-COUNT('04_DATA'!$K419:$AU419))/37)</f>
        <v/>
      </c>
      <c r="F422" s="55">
        <f>IF('04_DATA'!A419="","",IF(AND(COUNT('04_DATA'!$K419:$AU419)=37,COUNTIF('04_DATA'!$K419:$AU419,INDEX('04_DATA'!$K419:$AU419,1))=37),"EXCLUDE","ok"))</f>
        <v/>
      </c>
      <c r="G422" s="55">
        <f>IF('04_DATA'!A419="","",IF('04_DATA'!D419&lt;PERCENTILE('04_DATA'!$D$2:$D$1001,0.05),"FLAG","ok"))</f>
        <v/>
      </c>
      <c r="H422" s="55">
        <f>IF('04_DATA'!A419="","",IF(OR(C422="EXCLUDE",F422="EXCLUDE"),"Exclude under pre-specified rule",IF(E422&gt;0.15,"Exclude: &gt;15% missing",IF(G422="FLAG","Retain; test in robustness battery","Retain"))))</f>
        <v/>
      </c>
    </row>
    <row r="423">
      <c r="A423" s="55" t="n">
        <v>420</v>
      </c>
      <c r="B423" s="55">
        <f>IF('04_DATA'!A420="","",'04_DATA'!A420)</f>
        <v/>
      </c>
      <c r="C423" s="55">
        <f>IF('04_DATA'!A420="","",IF(AND('04_DATA'!G420=1,'04_DATA'!H420=1,'04_DATA'!I420&gt;=3),"eligible","EXCLUDE"))</f>
        <v/>
      </c>
      <c r="D423" s="55">
        <f>IF('04_DATA'!A420="","",37-COUNT('04_DATA'!$K420:$AU420))</f>
        <v/>
      </c>
      <c r="E423" s="63">
        <f>IF('04_DATA'!A420="","",(37-COUNT('04_DATA'!$K420:$AU420))/37)</f>
        <v/>
      </c>
      <c r="F423" s="55">
        <f>IF('04_DATA'!A420="","",IF(AND(COUNT('04_DATA'!$K420:$AU420)=37,COUNTIF('04_DATA'!$K420:$AU420,INDEX('04_DATA'!$K420:$AU420,1))=37),"EXCLUDE","ok"))</f>
        <v/>
      </c>
      <c r="G423" s="55">
        <f>IF('04_DATA'!A420="","",IF('04_DATA'!D420&lt;PERCENTILE('04_DATA'!$D$2:$D$1001,0.05),"FLAG","ok"))</f>
        <v/>
      </c>
      <c r="H423" s="55">
        <f>IF('04_DATA'!A420="","",IF(OR(C423="EXCLUDE",F423="EXCLUDE"),"Exclude under pre-specified rule",IF(E423&gt;0.15,"Exclude: &gt;15% missing",IF(G423="FLAG","Retain; test in robustness battery","Retain"))))</f>
        <v/>
      </c>
    </row>
    <row r="424">
      <c r="A424" s="55" t="n">
        <v>421</v>
      </c>
      <c r="B424" s="55">
        <f>IF('04_DATA'!A421="","",'04_DATA'!A421)</f>
        <v/>
      </c>
      <c r="C424" s="55">
        <f>IF('04_DATA'!A421="","",IF(AND('04_DATA'!G421=1,'04_DATA'!H421=1,'04_DATA'!I421&gt;=3),"eligible","EXCLUDE"))</f>
        <v/>
      </c>
      <c r="D424" s="55">
        <f>IF('04_DATA'!A421="","",37-COUNT('04_DATA'!$K421:$AU421))</f>
        <v/>
      </c>
      <c r="E424" s="63">
        <f>IF('04_DATA'!A421="","",(37-COUNT('04_DATA'!$K421:$AU421))/37)</f>
        <v/>
      </c>
      <c r="F424" s="55">
        <f>IF('04_DATA'!A421="","",IF(AND(COUNT('04_DATA'!$K421:$AU421)=37,COUNTIF('04_DATA'!$K421:$AU421,INDEX('04_DATA'!$K421:$AU421,1))=37),"EXCLUDE","ok"))</f>
        <v/>
      </c>
      <c r="G424" s="55">
        <f>IF('04_DATA'!A421="","",IF('04_DATA'!D421&lt;PERCENTILE('04_DATA'!$D$2:$D$1001,0.05),"FLAG","ok"))</f>
        <v/>
      </c>
      <c r="H424" s="55">
        <f>IF('04_DATA'!A421="","",IF(OR(C424="EXCLUDE",F424="EXCLUDE"),"Exclude under pre-specified rule",IF(E424&gt;0.15,"Exclude: &gt;15% missing",IF(G424="FLAG","Retain; test in robustness battery","Retain"))))</f>
        <v/>
      </c>
    </row>
    <row r="425">
      <c r="A425" s="55" t="n">
        <v>422</v>
      </c>
      <c r="B425" s="55">
        <f>IF('04_DATA'!A422="","",'04_DATA'!A422)</f>
        <v/>
      </c>
      <c r="C425" s="55">
        <f>IF('04_DATA'!A422="","",IF(AND('04_DATA'!G422=1,'04_DATA'!H422=1,'04_DATA'!I422&gt;=3),"eligible","EXCLUDE"))</f>
        <v/>
      </c>
      <c r="D425" s="55">
        <f>IF('04_DATA'!A422="","",37-COUNT('04_DATA'!$K422:$AU422))</f>
        <v/>
      </c>
      <c r="E425" s="63">
        <f>IF('04_DATA'!A422="","",(37-COUNT('04_DATA'!$K422:$AU422))/37)</f>
        <v/>
      </c>
      <c r="F425" s="55">
        <f>IF('04_DATA'!A422="","",IF(AND(COUNT('04_DATA'!$K422:$AU422)=37,COUNTIF('04_DATA'!$K422:$AU422,INDEX('04_DATA'!$K422:$AU422,1))=37),"EXCLUDE","ok"))</f>
        <v/>
      </c>
      <c r="G425" s="55">
        <f>IF('04_DATA'!A422="","",IF('04_DATA'!D422&lt;PERCENTILE('04_DATA'!$D$2:$D$1001,0.05),"FLAG","ok"))</f>
        <v/>
      </c>
      <c r="H425" s="55">
        <f>IF('04_DATA'!A422="","",IF(OR(C425="EXCLUDE",F425="EXCLUDE"),"Exclude under pre-specified rule",IF(E425&gt;0.15,"Exclude: &gt;15% missing",IF(G425="FLAG","Retain; test in robustness battery","Retain"))))</f>
        <v/>
      </c>
    </row>
    <row r="426">
      <c r="A426" s="55" t="n">
        <v>423</v>
      </c>
      <c r="B426" s="55">
        <f>IF('04_DATA'!A423="","",'04_DATA'!A423)</f>
        <v/>
      </c>
      <c r="C426" s="55">
        <f>IF('04_DATA'!A423="","",IF(AND('04_DATA'!G423=1,'04_DATA'!H423=1,'04_DATA'!I423&gt;=3),"eligible","EXCLUDE"))</f>
        <v/>
      </c>
      <c r="D426" s="55">
        <f>IF('04_DATA'!A423="","",37-COUNT('04_DATA'!$K423:$AU423))</f>
        <v/>
      </c>
      <c r="E426" s="63">
        <f>IF('04_DATA'!A423="","",(37-COUNT('04_DATA'!$K423:$AU423))/37)</f>
        <v/>
      </c>
      <c r="F426" s="55">
        <f>IF('04_DATA'!A423="","",IF(AND(COUNT('04_DATA'!$K423:$AU423)=37,COUNTIF('04_DATA'!$K423:$AU423,INDEX('04_DATA'!$K423:$AU423,1))=37),"EXCLUDE","ok"))</f>
        <v/>
      </c>
      <c r="G426" s="55">
        <f>IF('04_DATA'!A423="","",IF('04_DATA'!D423&lt;PERCENTILE('04_DATA'!$D$2:$D$1001,0.05),"FLAG","ok"))</f>
        <v/>
      </c>
      <c r="H426" s="55">
        <f>IF('04_DATA'!A423="","",IF(OR(C426="EXCLUDE",F426="EXCLUDE"),"Exclude under pre-specified rule",IF(E426&gt;0.15,"Exclude: &gt;15% missing",IF(G426="FLAG","Retain; test in robustness battery","Retain"))))</f>
        <v/>
      </c>
    </row>
    <row r="427">
      <c r="A427" s="55" t="n">
        <v>424</v>
      </c>
      <c r="B427" s="55">
        <f>IF('04_DATA'!A424="","",'04_DATA'!A424)</f>
        <v/>
      </c>
      <c r="C427" s="55">
        <f>IF('04_DATA'!A424="","",IF(AND('04_DATA'!G424=1,'04_DATA'!H424=1,'04_DATA'!I424&gt;=3),"eligible","EXCLUDE"))</f>
        <v/>
      </c>
      <c r="D427" s="55">
        <f>IF('04_DATA'!A424="","",37-COUNT('04_DATA'!$K424:$AU424))</f>
        <v/>
      </c>
      <c r="E427" s="63">
        <f>IF('04_DATA'!A424="","",(37-COUNT('04_DATA'!$K424:$AU424))/37)</f>
        <v/>
      </c>
      <c r="F427" s="55">
        <f>IF('04_DATA'!A424="","",IF(AND(COUNT('04_DATA'!$K424:$AU424)=37,COUNTIF('04_DATA'!$K424:$AU424,INDEX('04_DATA'!$K424:$AU424,1))=37),"EXCLUDE","ok"))</f>
        <v/>
      </c>
      <c r="G427" s="55">
        <f>IF('04_DATA'!A424="","",IF('04_DATA'!D424&lt;PERCENTILE('04_DATA'!$D$2:$D$1001,0.05),"FLAG","ok"))</f>
        <v/>
      </c>
      <c r="H427" s="55">
        <f>IF('04_DATA'!A424="","",IF(OR(C427="EXCLUDE",F427="EXCLUDE"),"Exclude under pre-specified rule",IF(E427&gt;0.15,"Exclude: &gt;15% missing",IF(G427="FLAG","Retain; test in robustness battery","Retain"))))</f>
        <v/>
      </c>
    </row>
    <row r="428">
      <c r="A428" s="55" t="n">
        <v>425</v>
      </c>
      <c r="B428" s="55">
        <f>IF('04_DATA'!A425="","",'04_DATA'!A425)</f>
        <v/>
      </c>
      <c r="C428" s="55">
        <f>IF('04_DATA'!A425="","",IF(AND('04_DATA'!G425=1,'04_DATA'!H425=1,'04_DATA'!I425&gt;=3),"eligible","EXCLUDE"))</f>
        <v/>
      </c>
      <c r="D428" s="55">
        <f>IF('04_DATA'!A425="","",37-COUNT('04_DATA'!$K425:$AU425))</f>
        <v/>
      </c>
      <c r="E428" s="63">
        <f>IF('04_DATA'!A425="","",(37-COUNT('04_DATA'!$K425:$AU425))/37)</f>
        <v/>
      </c>
      <c r="F428" s="55">
        <f>IF('04_DATA'!A425="","",IF(AND(COUNT('04_DATA'!$K425:$AU425)=37,COUNTIF('04_DATA'!$K425:$AU425,INDEX('04_DATA'!$K425:$AU425,1))=37),"EXCLUDE","ok"))</f>
        <v/>
      </c>
      <c r="G428" s="55">
        <f>IF('04_DATA'!A425="","",IF('04_DATA'!D425&lt;PERCENTILE('04_DATA'!$D$2:$D$1001,0.05),"FLAG","ok"))</f>
        <v/>
      </c>
      <c r="H428" s="55">
        <f>IF('04_DATA'!A425="","",IF(OR(C428="EXCLUDE",F428="EXCLUDE"),"Exclude under pre-specified rule",IF(E428&gt;0.15,"Exclude: &gt;15% missing",IF(G428="FLAG","Retain; test in robustness battery","Retain"))))</f>
        <v/>
      </c>
    </row>
    <row r="429">
      <c r="A429" s="55" t="n">
        <v>426</v>
      </c>
      <c r="B429" s="55">
        <f>IF('04_DATA'!A426="","",'04_DATA'!A426)</f>
        <v/>
      </c>
      <c r="C429" s="55">
        <f>IF('04_DATA'!A426="","",IF(AND('04_DATA'!G426=1,'04_DATA'!H426=1,'04_DATA'!I426&gt;=3),"eligible","EXCLUDE"))</f>
        <v/>
      </c>
      <c r="D429" s="55">
        <f>IF('04_DATA'!A426="","",37-COUNT('04_DATA'!$K426:$AU426))</f>
        <v/>
      </c>
      <c r="E429" s="63">
        <f>IF('04_DATA'!A426="","",(37-COUNT('04_DATA'!$K426:$AU426))/37)</f>
        <v/>
      </c>
      <c r="F429" s="55">
        <f>IF('04_DATA'!A426="","",IF(AND(COUNT('04_DATA'!$K426:$AU426)=37,COUNTIF('04_DATA'!$K426:$AU426,INDEX('04_DATA'!$K426:$AU426,1))=37),"EXCLUDE","ok"))</f>
        <v/>
      </c>
      <c r="G429" s="55">
        <f>IF('04_DATA'!A426="","",IF('04_DATA'!D426&lt;PERCENTILE('04_DATA'!$D$2:$D$1001,0.05),"FLAG","ok"))</f>
        <v/>
      </c>
      <c r="H429" s="55">
        <f>IF('04_DATA'!A426="","",IF(OR(C429="EXCLUDE",F429="EXCLUDE"),"Exclude under pre-specified rule",IF(E429&gt;0.15,"Exclude: &gt;15% missing",IF(G429="FLAG","Retain; test in robustness battery","Retain"))))</f>
        <v/>
      </c>
    </row>
    <row r="430">
      <c r="A430" s="55" t="n">
        <v>427</v>
      </c>
      <c r="B430" s="55">
        <f>IF('04_DATA'!A427="","",'04_DATA'!A427)</f>
        <v/>
      </c>
      <c r="C430" s="55">
        <f>IF('04_DATA'!A427="","",IF(AND('04_DATA'!G427=1,'04_DATA'!H427=1,'04_DATA'!I427&gt;=3),"eligible","EXCLUDE"))</f>
        <v/>
      </c>
      <c r="D430" s="55">
        <f>IF('04_DATA'!A427="","",37-COUNT('04_DATA'!$K427:$AU427))</f>
        <v/>
      </c>
      <c r="E430" s="63">
        <f>IF('04_DATA'!A427="","",(37-COUNT('04_DATA'!$K427:$AU427))/37)</f>
        <v/>
      </c>
      <c r="F430" s="55">
        <f>IF('04_DATA'!A427="","",IF(AND(COUNT('04_DATA'!$K427:$AU427)=37,COUNTIF('04_DATA'!$K427:$AU427,INDEX('04_DATA'!$K427:$AU427,1))=37),"EXCLUDE","ok"))</f>
        <v/>
      </c>
      <c r="G430" s="55">
        <f>IF('04_DATA'!A427="","",IF('04_DATA'!D427&lt;PERCENTILE('04_DATA'!$D$2:$D$1001,0.05),"FLAG","ok"))</f>
        <v/>
      </c>
      <c r="H430" s="55">
        <f>IF('04_DATA'!A427="","",IF(OR(C430="EXCLUDE",F430="EXCLUDE"),"Exclude under pre-specified rule",IF(E430&gt;0.15,"Exclude: &gt;15% missing",IF(G430="FLAG","Retain; test in robustness battery","Retain"))))</f>
        <v/>
      </c>
    </row>
    <row r="431">
      <c r="A431" s="55" t="n">
        <v>428</v>
      </c>
      <c r="B431" s="55">
        <f>IF('04_DATA'!A428="","",'04_DATA'!A428)</f>
        <v/>
      </c>
      <c r="C431" s="55">
        <f>IF('04_DATA'!A428="","",IF(AND('04_DATA'!G428=1,'04_DATA'!H428=1,'04_DATA'!I428&gt;=3),"eligible","EXCLUDE"))</f>
        <v/>
      </c>
      <c r="D431" s="55">
        <f>IF('04_DATA'!A428="","",37-COUNT('04_DATA'!$K428:$AU428))</f>
        <v/>
      </c>
      <c r="E431" s="63">
        <f>IF('04_DATA'!A428="","",(37-COUNT('04_DATA'!$K428:$AU428))/37)</f>
        <v/>
      </c>
      <c r="F431" s="55">
        <f>IF('04_DATA'!A428="","",IF(AND(COUNT('04_DATA'!$K428:$AU428)=37,COUNTIF('04_DATA'!$K428:$AU428,INDEX('04_DATA'!$K428:$AU428,1))=37),"EXCLUDE","ok"))</f>
        <v/>
      </c>
      <c r="G431" s="55">
        <f>IF('04_DATA'!A428="","",IF('04_DATA'!D428&lt;PERCENTILE('04_DATA'!$D$2:$D$1001,0.05),"FLAG","ok"))</f>
        <v/>
      </c>
      <c r="H431" s="55">
        <f>IF('04_DATA'!A428="","",IF(OR(C431="EXCLUDE",F431="EXCLUDE"),"Exclude under pre-specified rule",IF(E431&gt;0.15,"Exclude: &gt;15% missing",IF(G431="FLAG","Retain; test in robustness battery","Retain"))))</f>
        <v/>
      </c>
    </row>
    <row r="432">
      <c r="A432" s="55" t="n">
        <v>429</v>
      </c>
      <c r="B432" s="55">
        <f>IF('04_DATA'!A429="","",'04_DATA'!A429)</f>
        <v/>
      </c>
      <c r="C432" s="55">
        <f>IF('04_DATA'!A429="","",IF(AND('04_DATA'!G429=1,'04_DATA'!H429=1,'04_DATA'!I429&gt;=3),"eligible","EXCLUDE"))</f>
        <v/>
      </c>
      <c r="D432" s="55">
        <f>IF('04_DATA'!A429="","",37-COUNT('04_DATA'!$K429:$AU429))</f>
        <v/>
      </c>
      <c r="E432" s="63">
        <f>IF('04_DATA'!A429="","",(37-COUNT('04_DATA'!$K429:$AU429))/37)</f>
        <v/>
      </c>
      <c r="F432" s="55">
        <f>IF('04_DATA'!A429="","",IF(AND(COUNT('04_DATA'!$K429:$AU429)=37,COUNTIF('04_DATA'!$K429:$AU429,INDEX('04_DATA'!$K429:$AU429,1))=37),"EXCLUDE","ok"))</f>
        <v/>
      </c>
      <c r="G432" s="55">
        <f>IF('04_DATA'!A429="","",IF('04_DATA'!D429&lt;PERCENTILE('04_DATA'!$D$2:$D$1001,0.05),"FLAG","ok"))</f>
        <v/>
      </c>
      <c r="H432" s="55">
        <f>IF('04_DATA'!A429="","",IF(OR(C432="EXCLUDE",F432="EXCLUDE"),"Exclude under pre-specified rule",IF(E432&gt;0.15,"Exclude: &gt;15% missing",IF(G432="FLAG","Retain; test in robustness battery","Retain"))))</f>
        <v/>
      </c>
    </row>
    <row r="433">
      <c r="A433" s="55" t="n">
        <v>430</v>
      </c>
      <c r="B433" s="55">
        <f>IF('04_DATA'!A430="","",'04_DATA'!A430)</f>
        <v/>
      </c>
      <c r="C433" s="55">
        <f>IF('04_DATA'!A430="","",IF(AND('04_DATA'!G430=1,'04_DATA'!H430=1,'04_DATA'!I430&gt;=3),"eligible","EXCLUDE"))</f>
        <v/>
      </c>
      <c r="D433" s="55">
        <f>IF('04_DATA'!A430="","",37-COUNT('04_DATA'!$K430:$AU430))</f>
        <v/>
      </c>
      <c r="E433" s="63">
        <f>IF('04_DATA'!A430="","",(37-COUNT('04_DATA'!$K430:$AU430))/37)</f>
        <v/>
      </c>
      <c r="F433" s="55">
        <f>IF('04_DATA'!A430="","",IF(AND(COUNT('04_DATA'!$K430:$AU430)=37,COUNTIF('04_DATA'!$K430:$AU430,INDEX('04_DATA'!$K430:$AU430,1))=37),"EXCLUDE","ok"))</f>
        <v/>
      </c>
      <c r="G433" s="55">
        <f>IF('04_DATA'!A430="","",IF('04_DATA'!D430&lt;PERCENTILE('04_DATA'!$D$2:$D$1001,0.05),"FLAG","ok"))</f>
        <v/>
      </c>
      <c r="H433" s="55">
        <f>IF('04_DATA'!A430="","",IF(OR(C433="EXCLUDE",F433="EXCLUDE"),"Exclude under pre-specified rule",IF(E433&gt;0.15,"Exclude: &gt;15% missing",IF(G433="FLAG","Retain; test in robustness battery","Retain"))))</f>
        <v/>
      </c>
    </row>
    <row r="434">
      <c r="A434" s="55" t="n">
        <v>431</v>
      </c>
      <c r="B434" s="55">
        <f>IF('04_DATA'!A431="","",'04_DATA'!A431)</f>
        <v/>
      </c>
      <c r="C434" s="55">
        <f>IF('04_DATA'!A431="","",IF(AND('04_DATA'!G431=1,'04_DATA'!H431=1,'04_DATA'!I431&gt;=3),"eligible","EXCLUDE"))</f>
        <v/>
      </c>
      <c r="D434" s="55">
        <f>IF('04_DATA'!A431="","",37-COUNT('04_DATA'!$K431:$AU431))</f>
        <v/>
      </c>
      <c r="E434" s="63">
        <f>IF('04_DATA'!A431="","",(37-COUNT('04_DATA'!$K431:$AU431))/37)</f>
        <v/>
      </c>
      <c r="F434" s="55">
        <f>IF('04_DATA'!A431="","",IF(AND(COUNT('04_DATA'!$K431:$AU431)=37,COUNTIF('04_DATA'!$K431:$AU431,INDEX('04_DATA'!$K431:$AU431,1))=37),"EXCLUDE","ok"))</f>
        <v/>
      </c>
      <c r="G434" s="55">
        <f>IF('04_DATA'!A431="","",IF('04_DATA'!D431&lt;PERCENTILE('04_DATA'!$D$2:$D$1001,0.05),"FLAG","ok"))</f>
        <v/>
      </c>
      <c r="H434" s="55">
        <f>IF('04_DATA'!A431="","",IF(OR(C434="EXCLUDE",F434="EXCLUDE"),"Exclude under pre-specified rule",IF(E434&gt;0.15,"Exclude: &gt;15% missing",IF(G434="FLAG","Retain; test in robustness battery","Retain"))))</f>
        <v/>
      </c>
    </row>
    <row r="435">
      <c r="A435" s="55" t="n">
        <v>432</v>
      </c>
      <c r="B435" s="55">
        <f>IF('04_DATA'!A432="","",'04_DATA'!A432)</f>
        <v/>
      </c>
      <c r="C435" s="55">
        <f>IF('04_DATA'!A432="","",IF(AND('04_DATA'!G432=1,'04_DATA'!H432=1,'04_DATA'!I432&gt;=3),"eligible","EXCLUDE"))</f>
        <v/>
      </c>
      <c r="D435" s="55">
        <f>IF('04_DATA'!A432="","",37-COUNT('04_DATA'!$K432:$AU432))</f>
        <v/>
      </c>
      <c r="E435" s="63">
        <f>IF('04_DATA'!A432="","",(37-COUNT('04_DATA'!$K432:$AU432))/37)</f>
        <v/>
      </c>
      <c r="F435" s="55">
        <f>IF('04_DATA'!A432="","",IF(AND(COUNT('04_DATA'!$K432:$AU432)=37,COUNTIF('04_DATA'!$K432:$AU432,INDEX('04_DATA'!$K432:$AU432,1))=37),"EXCLUDE","ok"))</f>
        <v/>
      </c>
      <c r="G435" s="55">
        <f>IF('04_DATA'!A432="","",IF('04_DATA'!D432&lt;PERCENTILE('04_DATA'!$D$2:$D$1001,0.05),"FLAG","ok"))</f>
        <v/>
      </c>
      <c r="H435" s="55">
        <f>IF('04_DATA'!A432="","",IF(OR(C435="EXCLUDE",F435="EXCLUDE"),"Exclude under pre-specified rule",IF(E435&gt;0.15,"Exclude: &gt;15% missing",IF(G435="FLAG","Retain; test in robustness battery","Retain"))))</f>
        <v/>
      </c>
    </row>
    <row r="436">
      <c r="A436" s="55" t="n">
        <v>433</v>
      </c>
      <c r="B436" s="55">
        <f>IF('04_DATA'!A433="","",'04_DATA'!A433)</f>
        <v/>
      </c>
      <c r="C436" s="55">
        <f>IF('04_DATA'!A433="","",IF(AND('04_DATA'!G433=1,'04_DATA'!H433=1,'04_DATA'!I433&gt;=3),"eligible","EXCLUDE"))</f>
        <v/>
      </c>
      <c r="D436" s="55">
        <f>IF('04_DATA'!A433="","",37-COUNT('04_DATA'!$K433:$AU433))</f>
        <v/>
      </c>
      <c r="E436" s="63">
        <f>IF('04_DATA'!A433="","",(37-COUNT('04_DATA'!$K433:$AU433))/37)</f>
        <v/>
      </c>
      <c r="F436" s="55">
        <f>IF('04_DATA'!A433="","",IF(AND(COUNT('04_DATA'!$K433:$AU433)=37,COUNTIF('04_DATA'!$K433:$AU433,INDEX('04_DATA'!$K433:$AU433,1))=37),"EXCLUDE","ok"))</f>
        <v/>
      </c>
      <c r="G436" s="55">
        <f>IF('04_DATA'!A433="","",IF('04_DATA'!D433&lt;PERCENTILE('04_DATA'!$D$2:$D$1001,0.05),"FLAG","ok"))</f>
        <v/>
      </c>
      <c r="H436" s="55">
        <f>IF('04_DATA'!A433="","",IF(OR(C436="EXCLUDE",F436="EXCLUDE"),"Exclude under pre-specified rule",IF(E436&gt;0.15,"Exclude: &gt;15% missing",IF(G436="FLAG","Retain; test in robustness battery","Retain"))))</f>
        <v/>
      </c>
    </row>
    <row r="437">
      <c r="A437" s="55" t="n">
        <v>434</v>
      </c>
      <c r="B437" s="55">
        <f>IF('04_DATA'!A434="","",'04_DATA'!A434)</f>
        <v/>
      </c>
      <c r="C437" s="55">
        <f>IF('04_DATA'!A434="","",IF(AND('04_DATA'!G434=1,'04_DATA'!H434=1,'04_DATA'!I434&gt;=3),"eligible","EXCLUDE"))</f>
        <v/>
      </c>
      <c r="D437" s="55">
        <f>IF('04_DATA'!A434="","",37-COUNT('04_DATA'!$K434:$AU434))</f>
        <v/>
      </c>
      <c r="E437" s="63">
        <f>IF('04_DATA'!A434="","",(37-COUNT('04_DATA'!$K434:$AU434))/37)</f>
        <v/>
      </c>
      <c r="F437" s="55">
        <f>IF('04_DATA'!A434="","",IF(AND(COUNT('04_DATA'!$K434:$AU434)=37,COUNTIF('04_DATA'!$K434:$AU434,INDEX('04_DATA'!$K434:$AU434,1))=37),"EXCLUDE","ok"))</f>
        <v/>
      </c>
      <c r="G437" s="55">
        <f>IF('04_DATA'!A434="","",IF('04_DATA'!D434&lt;PERCENTILE('04_DATA'!$D$2:$D$1001,0.05),"FLAG","ok"))</f>
        <v/>
      </c>
      <c r="H437" s="55">
        <f>IF('04_DATA'!A434="","",IF(OR(C437="EXCLUDE",F437="EXCLUDE"),"Exclude under pre-specified rule",IF(E437&gt;0.15,"Exclude: &gt;15% missing",IF(G437="FLAG","Retain; test in robustness battery","Retain"))))</f>
        <v/>
      </c>
    </row>
    <row r="438">
      <c r="A438" s="55" t="n">
        <v>435</v>
      </c>
      <c r="B438" s="55">
        <f>IF('04_DATA'!A435="","",'04_DATA'!A435)</f>
        <v/>
      </c>
      <c r="C438" s="55">
        <f>IF('04_DATA'!A435="","",IF(AND('04_DATA'!G435=1,'04_DATA'!H435=1,'04_DATA'!I435&gt;=3),"eligible","EXCLUDE"))</f>
        <v/>
      </c>
      <c r="D438" s="55">
        <f>IF('04_DATA'!A435="","",37-COUNT('04_DATA'!$K435:$AU435))</f>
        <v/>
      </c>
      <c r="E438" s="63">
        <f>IF('04_DATA'!A435="","",(37-COUNT('04_DATA'!$K435:$AU435))/37)</f>
        <v/>
      </c>
      <c r="F438" s="55">
        <f>IF('04_DATA'!A435="","",IF(AND(COUNT('04_DATA'!$K435:$AU435)=37,COUNTIF('04_DATA'!$K435:$AU435,INDEX('04_DATA'!$K435:$AU435,1))=37),"EXCLUDE","ok"))</f>
        <v/>
      </c>
      <c r="G438" s="55">
        <f>IF('04_DATA'!A435="","",IF('04_DATA'!D435&lt;PERCENTILE('04_DATA'!$D$2:$D$1001,0.05),"FLAG","ok"))</f>
        <v/>
      </c>
      <c r="H438" s="55">
        <f>IF('04_DATA'!A435="","",IF(OR(C438="EXCLUDE",F438="EXCLUDE"),"Exclude under pre-specified rule",IF(E438&gt;0.15,"Exclude: &gt;15% missing",IF(G438="FLAG","Retain; test in robustness battery","Retain"))))</f>
        <v/>
      </c>
    </row>
    <row r="439">
      <c r="A439" s="55" t="n">
        <v>436</v>
      </c>
      <c r="B439" s="55">
        <f>IF('04_DATA'!A436="","",'04_DATA'!A436)</f>
        <v/>
      </c>
      <c r="C439" s="55">
        <f>IF('04_DATA'!A436="","",IF(AND('04_DATA'!G436=1,'04_DATA'!H436=1,'04_DATA'!I436&gt;=3),"eligible","EXCLUDE"))</f>
        <v/>
      </c>
      <c r="D439" s="55">
        <f>IF('04_DATA'!A436="","",37-COUNT('04_DATA'!$K436:$AU436))</f>
        <v/>
      </c>
      <c r="E439" s="63">
        <f>IF('04_DATA'!A436="","",(37-COUNT('04_DATA'!$K436:$AU436))/37)</f>
        <v/>
      </c>
      <c r="F439" s="55">
        <f>IF('04_DATA'!A436="","",IF(AND(COUNT('04_DATA'!$K436:$AU436)=37,COUNTIF('04_DATA'!$K436:$AU436,INDEX('04_DATA'!$K436:$AU436,1))=37),"EXCLUDE","ok"))</f>
        <v/>
      </c>
      <c r="G439" s="55">
        <f>IF('04_DATA'!A436="","",IF('04_DATA'!D436&lt;PERCENTILE('04_DATA'!$D$2:$D$1001,0.05),"FLAG","ok"))</f>
        <v/>
      </c>
      <c r="H439" s="55">
        <f>IF('04_DATA'!A436="","",IF(OR(C439="EXCLUDE",F439="EXCLUDE"),"Exclude under pre-specified rule",IF(E439&gt;0.15,"Exclude: &gt;15% missing",IF(G439="FLAG","Retain; test in robustness battery","Retain"))))</f>
        <v/>
      </c>
    </row>
    <row r="440">
      <c r="A440" s="55" t="n">
        <v>437</v>
      </c>
      <c r="B440" s="55">
        <f>IF('04_DATA'!A437="","",'04_DATA'!A437)</f>
        <v/>
      </c>
      <c r="C440" s="55">
        <f>IF('04_DATA'!A437="","",IF(AND('04_DATA'!G437=1,'04_DATA'!H437=1,'04_DATA'!I437&gt;=3),"eligible","EXCLUDE"))</f>
        <v/>
      </c>
      <c r="D440" s="55">
        <f>IF('04_DATA'!A437="","",37-COUNT('04_DATA'!$K437:$AU437))</f>
        <v/>
      </c>
      <c r="E440" s="63">
        <f>IF('04_DATA'!A437="","",(37-COUNT('04_DATA'!$K437:$AU437))/37)</f>
        <v/>
      </c>
      <c r="F440" s="55">
        <f>IF('04_DATA'!A437="","",IF(AND(COUNT('04_DATA'!$K437:$AU437)=37,COUNTIF('04_DATA'!$K437:$AU437,INDEX('04_DATA'!$K437:$AU437,1))=37),"EXCLUDE","ok"))</f>
        <v/>
      </c>
      <c r="G440" s="55">
        <f>IF('04_DATA'!A437="","",IF('04_DATA'!D437&lt;PERCENTILE('04_DATA'!$D$2:$D$1001,0.05),"FLAG","ok"))</f>
        <v/>
      </c>
      <c r="H440" s="55">
        <f>IF('04_DATA'!A437="","",IF(OR(C440="EXCLUDE",F440="EXCLUDE"),"Exclude under pre-specified rule",IF(E440&gt;0.15,"Exclude: &gt;15% missing",IF(G440="FLAG","Retain; test in robustness battery","Retain"))))</f>
        <v/>
      </c>
    </row>
    <row r="441">
      <c r="A441" s="55" t="n">
        <v>438</v>
      </c>
      <c r="B441" s="55">
        <f>IF('04_DATA'!A438="","",'04_DATA'!A438)</f>
        <v/>
      </c>
      <c r="C441" s="55">
        <f>IF('04_DATA'!A438="","",IF(AND('04_DATA'!G438=1,'04_DATA'!H438=1,'04_DATA'!I438&gt;=3),"eligible","EXCLUDE"))</f>
        <v/>
      </c>
      <c r="D441" s="55">
        <f>IF('04_DATA'!A438="","",37-COUNT('04_DATA'!$K438:$AU438))</f>
        <v/>
      </c>
      <c r="E441" s="63">
        <f>IF('04_DATA'!A438="","",(37-COUNT('04_DATA'!$K438:$AU438))/37)</f>
        <v/>
      </c>
      <c r="F441" s="55">
        <f>IF('04_DATA'!A438="","",IF(AND(COUNT('04_DATA'!$K438:$AU438)=37,COUNTIF('04_DATA'!$K438:$AU438,INDEX('04_DATA'!$K438:$AU438,1))=37),"EXCLUDE","ok"))</f>
        <v/>
      </c>
      <c r="G441" s="55">
        <f>IF('04_DATA'!A438="","",IF('04_DATA'!D438&lt;PERCENTILE('04_DATA'!$D$2:$D$1001,0.05),"FLAG","ok"))</f>
        <v/>
      </c>
      <c r="H441" s="55">
        <f>IF('04_DATA'!A438="","",IF(OR(C441="EXCLUDE",F441="EXCLUDE"),"Exclude under pre-specified rule",IF(E441&gt;0.15,"Exclude: &gt;15% missing",IF(G441="FLAG","Retain; test in robustness battery","Retain"))))</f>
        <v/>
      </c>
    </row>
    <row r="442">
      <c r="A442" s="55" t="n">
        <v>439</v>
      </c>
      <c r="B442" s="55">
        <f>IF('04_DATA'!A439="","",'04_DATA'!A439)</f>
        <v/>
      </c>
      <c r="C442" s="55">
        <f>IF('04_DATA'!A439="","",IF(AND('04_DATA'!G439=1,'04_DATA'!H439=1,'04_DATA'!I439&gt;=3),"eligible","EXCLUDE"))</f>
        <v/>
      </c>
      <c r="D442" s="55">
        <f>IF('04_DATA'!A439="","",37-COUNT('04_DATA'!$K439:$AU439))</f>
        <v/>
      </c>
      <c r="E442" s="63">
        <f>IF('04_DATA'!A439="","",(37-COUNT('04_DATA'!$K439:$AU439))/37)</f>
        <v/>
      </c>
      <c r="F442" s="55">
        <f>IF('04_DATA'!A439="","",IF(AND(COUNT('04_DATA'!$K439:$AU439)=37,COUNTIF('04_DATA'!$K439:$AU439,INDEX('04_DATA'!$K439:$AU439,1))=37),"EXCLUDE","ok"))</f>
        <v/>
      </c>
      <c r="G442" s="55">
        <f>IF('04_DATA'!A439="","",IF('04_DATA'!D439&lt;PERCENTILE('04_DATA'!$D$2:$D$1001,0.05),"FLAG","ok"))</f>
        <v/>
      </c>
      <c r="H442" s="55">
        <f>IF('04_DATA'!A439="","",IF(OR(C442="EXCLUDE",F442="EXCLUDE"),"Exclude under pre-specified rule",IF(E442&gt;0.15,"Exclude: &gt;15% missing",IF(G442="FLAG","Retain; test in robustness battery","Retain"))))</f>
        <v/>
      </c>
    </row>
    <row r="443">
      <c r="A443" s="55" t="n">
        <v>440</v>
      </c>
      <c r="B443" s="55">
        <f>IF('04_DATA'!A440="","",'04_DATA'!A440)</f>
        <v/>
      </c>
      <c r="C443" s="55">
        <f>IF('04_DATA'!A440="","",IF(AND('04_DATA'!G440=1,'04_DATA'!H440=1,'04_DATA'!I440&gt;=3),"eligible","EXCLUDE"))</f>
        <v/>
      </c>
      <c r="D443" s="55">
        <f>IF('04_DATA'!A440="","",37-COUNT('04_DATA'!$K440:$AU440))</f>
        <v/>
      </c>
      <c r="E443" s="63">
        <f>IF('04_DATA'!A440="","",(37-COUNT('04_DATA'!$K440:$AU440))/37)</f>
        <v/>
      </c>
      <c r="F443" s="55">
        <f>IF('04_DATA'!A440="","",IF(AND(COUNT('04_DATA'!$K440:$AU440)=37,COUNTIF('04_DATA'!$K440:$AU440,INDEX('04_DATA'!$K440:$AU440,1))=37),"EXCLUDE","ok"))</f>
        <v/>
      </c>
      <c r="G443" s="55">
        <f>IF('04_DATA'!A440="","",IF('04_DATA'!D440&lt;PERCENTILE('04_DATA'!$D$2:$D$1001,0.05),"FLAG","ok"))</f>
        <v/>
      </c>
      <c r="H443" s="55">
        <f>IF('04_DATA'!A440="","",IF(OR(C443="EXCLUDE",F443="EXCLUDE"),"Exclude under pre-specified rule",IF(E443&gt;0.15,"Exclude: &gt;15% missing",IF(G443="FLAG","Retain; test in robustness battery","Retain"))))</f>
        <v/>
      </c>
    </row>
    <row r="444">
      <c r="A444" s="55" t="n">
        <v>441</v>
      </c>
      <c r="B444" s="55">
        <f>IF('04_DATA'!A441="","",'04_DATA'!A441)</f>
        <v/>
      </c>
      <c r="C444" s="55">
        <f>IF('04_DATA'!A441="","",IF(AND('04_DATA'!G441=1,'04_DATA'!H441=1,'04_DATA'!I441&gt;=3),"eligible","EXCLUDE"))</f>
        <v/>
      </c>
      <c r="D444" s="55">
        <f>IF('04_DATA'!A441="","",37-COUNT('04_DATA'!$K441:$AU441))</f>
        <v/>
      </c>
      <c r="E444" s="63">
        <f>IF('04_DATA'!A441="","",(37-COUNT('04_DATA'!$K441:$AU441))/37)</f>
        <v/>
      </c>
      <c r="F444" s="55">
        <f>IF('04_DATA'!A441="","",IF(AND(COUNT('04_DATA'!$K441:$AU441)=37,COUNTIF('04_DATA'!$K441:$AU441,INDEX('04_DATA'!$K441:$AU441,1))=37),"EXCLUDE","ok"))</f>
        <v/>
      </c>
      <c r="G444" s="55">
        <f>IF('04_DATA'!A441="","",IF('04_DATA'!D441&lt;PERCENTILE('04_DATA'!$D$2:$D$1001,0.05),"FLAG","ok"))</f>
        <v/>
      </c>
      <c r="H444" s="55">
        <f>IF('04_DATA'!A441="","",IF(OR(C444="EXCLUDE",F444="EXCLUDE"),"Exclude under pre-specified rule",IF(E444&gt;0.15,"Exclude: &gt;15% missing",IF(G444="FLAG","Retain; test in robustness battery","Retain"))))</f>
        <v/>
      </c>
    </row>
    <row r="445">
      <c r="A445" s="55" t="n">
        <v>442</v>
      </c>
      <c r="B445" s="55">
        <f>IF('04_DATA'!A442="","",'04_DATA'!A442)</f>
        <v/>
      </c>
      <c r="C445" s="55">
        <f>IF('04_DATA'!A442="","",IF(AND('04_DATA'!G442=1,'04_DATA'!H442=1,'04_DATA'!I442&gt;=3),"eligible","EXCLUDE"))</f>
        <v/>
      </c>
      <c r="D445" s="55">
        <f>IF('04_DATA'!A442="","",37-COUNT('04_DATA'!$K442:$AU442))</f>
        <v/>
      </c>
      <c r="E445" s="63">
        <f>IF('04_DATA'!A442="","",(37-COUNT('04_DATA'!$K442:$AU442))/37)</f>
        <v/>
      </c>
      <c r="F445" s="55">
        <f>IF('04_DATA'!A442="","",IF(AND(COUNT('04_DATA'!$K442:$AU442)=37,COUNTIF('04_DATA'!$K442:$AU442,INDEX('04_DATA'!$K442:$AU442,1))=37),"EXCLUDE","ok"))</f>
        <v/>
      </c>
      <c r="G445" s="55">
        <f>IF('04_DATA'!A442="","",IF('04_DATA'!D442&lt;PERCENTILE('04_DATA'!$D$2:$D$1001,0.05),"FLAG","ok"))</f>
        <v/>
      </c>
      <c r="H445" s="55">
        <f>IF('04_DATA'!A442="","",IF(OR(C445="EXCLUDE",F445="EXCLUDE"),"Exclude under pre-specified rule",IF(E445&gt;0.15,"Exclude: &gt;15% missing",IF(G445="FLAG","Retain; test in robustness battery","Retain"))))</f>
        <v/>
      </c>
    </row>
    <row r="446">
      <c r="A446" s="55" t="n">
        <v>443</v>
      </c>
      <c r="B446" s="55">
        <f>IF('04_DATA'!A443="","",'04_DATA'!A443)</f>
        <v/>
      </c>
      <c r="C446" s="55">
        <f>IF('04_DATA'!A443="","",IF(AND('04_DATA'!G443=1,'04_DATA'!H443=1,'04_DATA'!I443&gt;=3),"eligible","EXCLUDE"))</f>
        <v/>
      </c>
      <c r="D446" s="55">
        <f>IF('04_DATA'!A443="","",37-COUNT('04_DATA'!$K443:$AU443))</f>
        <v/>
      </c>
      <c r="E446" s="63">
        <f>IF('04_DATA'!A443="","",(37-COUNT('04_DATA'!$K443:$AU443))/37)</f>
        <v/>
      </c>
      <c r="F446" s="55">
        <f>IF('04_DATA'!A443="","",IF(AND(COUNT('04_DATA'!$K443:$AU443)=37,COUNTIF('04_DATA'!$K443:$AU443,INDEX('04_DATA'!$K443:$AU443,1))=37),"EXCLUDE","ok"))</f>
        <v/>
      </c>
      <c r="G446" s="55">
        <f>IF('04_DATA'!A443="","",IF('04_DATA'!D443&lt;PERCENTILE('04_DATA'!$D$2:$D$1001,0.05),"FLAG","ok"))</f>
        <v/>
      </c>
      <c r="H446" s="55">
        <f>IF('04_DATA'!A443="","",IF(OR(C446="EXCLUDE",F446="EXCLUDE"),"Exclude under pre-specified rule",IF(E446&gt;0.15,"Exclude: &gt;15% missing",IF(G446="FLAG","Retain; test in robustness battery","Retain"))))</f>
        <v/>
      </c>
    </row>
    <row r="447">
      <c r="A447" s="55" t="n">
        <v>444</v>
      </c>
      <c r="B447" s="55">
        <f>IF('04_DATA'!A444="","",'04_DATA'!A444)</f>
        <v/>
      </c>
      <c r="C447" s="55">
        <f>IF('04_DATA'!A444="","",IF(AND('04_DATA'!G444=1,'04_DATA'!H444=1,'04_DATA'!I444&gt;=3),"eligible","EXCLUDE"))</f>
        <v/>
      </c>
      <c r="D447" s="55">
        <f>IF('04_DATA'!A444="","",37-COUNT('04_DATA'!$K444:$AU444))</f>
        <v/>
      </c>
      <c r="E447" s="63">
        <f>IF('04_DATA'!A444="","",(37-COUNT('04_DATA'!$K444:$AU444))/37)</f>
        <v/>
      </c>
      <c r="F447" s="55">
        <f>IF('04_DATA'!A444="","",IF(AND(COUNT('04_DATA'!$K444:$AU444)=37,COUNTIF('04_DATA'!$K444:$AU444,INDEX('04_DATA'!$K444:$AU444,1))=37),"EXCLUDE","ok"))</f>
        <v/>
      </c>
      <c r="G447" s="55">
        <f>IF('04_DATA'!A444="","",IF('04_DATA'!D444&lt;PERCENTILE('04_DATA'!$D$2:$D$1001,0.05),"FLAG","ok"))</f>
        <v/>
      </c>
      <c r="H447" s="55">
        <f>IF('04_DATA'!A444="","",IF(OR(C447="EXCLUDE",F447="EXCLUDE"),"Exclude under pre-specified rule",IF(E447&gt;0.15,"Exclude: &gt;15% missing",IF(G447="FLAG","Retain; test in robustness battery","Retain"))))</f>
        <v/>
      </c>
    </row>
    <row r="448">
      <c r="A448" s="55" t="n">
        <v>445</v>
      </c>
      <c r="B448" s="55">
        <f>IF('04_DATA'!A445="","",'04_DATA'!A445)</f>
        <v/>
      </c>
      <c r="C448" s="55">
        <f>IF('04_DATA'!A445="","",IF(AND('04_DATA'!G445=1,'04_DATA'!H445=1,'04_DATA'!I445&gt;=3),"eligible","EXCLUDE"))</f>
        <v/>
      </c>
      <c r="D448" s="55">
        <f>IF('04_DATA'!A445="","",37-COUNT('04_DATA'!$K445:$AU445))</f>
        <v/>
      </c>
      <c r="E448" s="63">
        <f>IF('04_DATA'!A445="","",(37-COUNT('04_DATA'!$K445:$AU445))/37)</f>
        <v/>
      </c>
      <c r="F448" s="55">
        <f>IF('04_DATA'!A445="","",IF(AND(COUNT('04_DATA'!$K445:$AU445)=37,COUNTIF('04_DATA'!$K445:$AU445,INDEX('04_DATA'!$K445:$AU445,1))=37),"EXCLUDE","ok"))</f>
        <v/>
      </c>
      <c r="G448" s="55">
        <f>IF('04_DATA'!A445="","",IF('04_DATA'!D445&lt;PERCENTILE('04_DATA'!$D$2:$D$1001,0.05),"FLAG","ok"))</f>
        <v/>
      </c>
      <c r="H448" s="55">
        <f>IF('04_DATA'!A445="","",IF(OR(C448="EXCLUDE",F448="EXCLUDE"),"Exclude under pre-specified rule",IF(E448&gt;0.15,"Exclude: &gt;15% missing",IF(G448="FLAG","Retain; test in robustness battery","Retain"))))</f>
        <v/>
      </c>
    </row>
    <row r="449">
      <c r="A449" s="55" t="n">
        <v>446</v>
      </c>
      <c r="B449" s="55">
        <f>IF('04_DATA'!A446="","",'04_DATA'!A446)</f>
        <v/>
      </c>
      <c r="C449" s="55">
        <f>IF('04_DATA'!A446="","",IF(AND('04_DATA'!G446=1,'04_DATA'!H446=1,'04_DATA'!I446&gt;=3),"eligible","EXCLUDE"))</f>
        <v/>
      </c>
      <c r="D449" s="55">
        <f>IF('04_DATA'!A446="","",37-COUNT('04_DATA'!$K446:$AU446))</f>
        <v/>
      </c>
      <c r="E449" s="63">
        <f>IF('04_DATA'!A446="","",(37-COUNT('04_DATA'!$K446:$AU446))/37)</f>
        <v/>
      </c>
      <c r="F449" s="55">
        <f>IF('04_DATA'!A446="","",IF(AND(COUNT('04_DATA'!$K446:$AU446)=37,COUNTIF('04_DATA'!$K446:$AU446,INDEX('04_DATA'!$K446:$AU446,1))=37),"EXCLUDE","ok"))</f>
        <v/>
      </c>
      <c r="G449" s="55">
        <f>IF('04_DATA'!A446="","",IF('04_DATA'!D446&lt;PERCENTILE('04_DATA'!$D$2:$D$1001,0.05),"FLAG","ok"))</f>
        <v/>
      </c>
      <c r="H449" s="55">
        <f>IF('04_DATA'!A446="","",IF(OR(C449="EXCLUDE",F449="EXCLUDE"),"Exclude under pre-specified rule",IF(E449&gt;0.15,"Exclude: &gt;15% missing",IF(G449="FLAG","Retain; test in robustness battery","Retain"))))</f>
        <v/>
      </c>
    </row>
    <row r="450">
      <c r="A450" s="55" t="n">
        <v>447</v>
      </c>
      <c r="B450" s="55">
        <f>IF('04_DATA'!A447="","",'04_DATA'!A447)</f>
        <v/>
      </c>
      <c r="C450" s="55">
        <f>IF('04_DATA'!A447="","",IF(AND('04_DATA'!G447=1,'04_DATA'!H447=1,'04_DATA'!I447&gt;=3),"eligible","EXCLUDE"))</f>
        <v/>
      </c>
      <c r="D450" s="55">
        <f>IF('04_DATA'!A447="","",37-COUNT('04_DATA'!$K447:$AU447))</f>
        <v/>
      </c>
      <c r="E450" s="63">
        <f>IF('04_DATA'!A447="","",(37-COUNT('04_DATA'!$K447:$AU447))/37)</f>
        <v/>
      </c>
      <c r="F450" s="55">
        <f>IF('04_DATA'!A447="","",IF(AND(COUNT('04_DATA'!$K447:$AU447)=37,COUNTIF('04_DATA'!$K447:$AU447,INDEX('04_DATA'!$K447:$AU447,1))=37),"EXCLUDE","ok"))</f>
        <v/>
      </c>
      <c r="G450" s="55">
        <f>IF('04_DATA'!A447="","",IF('04_DATA'!D447&lt;PERCENTILE('04_DATA'!$D$2:$D$1001,0.05),"FLAG","ok"))</f>
        <v/>
      </c>
      <c r="H450" s="55">
        <f>IF('04_DATA'!A447="","",IF(OR(C450="EXCLUDE",F450="EXCLUDE"),"Exclude under pre-specified rule",IF(E450&gt;0.15,"Exclude: &gt;15% missing",IF(G450="FLAG","Retain; test in robustness battery","Retain"))))</f>
        <v/>
      </c>
    </row>
    <row r="451">
      <c r="A451" s="55" t="n">
        <v>448</v>
      </c>
      <c r="B451" s="55">
        <f>IF('04_DATA'!A448="","",'04_DATA'!A448)</f>
        <v/>
      </c>
      <c r="C451" s="55">
        <f>IF('04_DATA'!A448="","",IF(AND('04_DATA'!G448=1,'04_DATA'!H448=1,'04_DATA'!I448&gt;=3),"eligible","EXCLUDE"))</f>
        <v/>
      </c>
      <c r="D451" s="55">
        <f>IF('04_DATA'!A448="","",37-COUNT('04_DATA'!$K448:$AU448))</f>
        <v/>
      </c>
      <c r="E451" s="63">
        <f>IF('04_DATA'!A448="","",(37-COUNT('04_DATA'!$K448:$AU448))/37)</f>
        <v/>
      </c>
      <c r="F451" s="55">
        <f>IF('04_DATA'!A448="","",IF(AND(COUNT('04_DATA'!$K448:$AU448)=37,COUNTIF('04_DATA'!$K448:$AU448,INDEX('04_DATA'!$K448:$AU448,1))=37),"EXCLUDE","ok"))</f>
        <v/>
      </c>
      <c r="G451" s="55">
        <f>IF('04_DATA'!A448="","",IF('04_DATA'!D448&lt;PERCENTILE('04_DATA'!$D$2:$D$1001,0.05),"FLAG","ok"))</f>
        <v/>
      </c>
      <c r="H451" s="55">
        <f>IF('04_DATA'!A448="","",IF(OR(C451="EXCLUDE",F451="EXCLUDE"),"Exclude under pre-specified rule",IF(E451&gt;0.15,"Exclude: &gt;15% missing",IF(G451="FLAG","Retain; test in robustness battery","Retain"))))</f>
        <v/>
      </c>
    </row>
    <row r="452">
      <c r="A452" s="55" t="n">
        <v>449</v>
      </c>
      <c r="B452" s="55">
        <f>IF('04_DATA'!A449="","",'04_DATA'!A449)</f>
        <v/>
      </c>
      <c r="C452" s="55">
        <f>IF('04_DATA'!A449="","",IF(AND('04_DATA'!G449=1,'04_DATA'!H449=1,'04_DATA'!I449&gt;=3),"eligible","EXCLUDE"))</f>
        <v/>
      </c>
      <c r="D452" s="55">
        <f>IF('04_DATA'!A449="","",37-COUNT('04_DATA'!$K449:$AU449))</f>
        <v/>
      </c>
      <c r="E452" s="63">
        <f>IF('04_DATA'!A449="","",(37-COUNT('04_DATA'!$K449:$AU449))/37)</f>
        <v/>
      </c>
      <c r="F452" s="55">
        <f>IF('04_DATA'!A449="","",IF(AND(COUNT('04_DATA'!$K449:$AU449)=37,COUNTIF('04_DATA'!$K449:$AU449,INDEX('04_DATA'!$K449:$AU449,1))=37),"EXCLUDE","ok"))</f>
        <v/>
      </c>
      <c r="G452" s="55">
        <f>IF('04_DATA'!A449="","",IF('04_DATA'!D449&lt;PERCENTILE('04_DATA'!$D$2:$D$1001,0.05),"FLAG","ok"))</f>
        <v/>
      </c>
      <c r="H452" s="55">
        <f>IF('04_DATA'!A449="","",IF(OR(C452="EXCLUDE",F452="EXCLUDE"),"Exclude under pre-specified rule",IF(E452&gt;0.15,"Exclude: &gt;15% missing",IF(G452="FLAG","Retain; test in robustness battery","Retain"))))</f>
        <v/>
      </c>
    </row>
    <row r="453">
      <c r="A453" s="55" t="n">
        <v>450</v>
      </c>
      <c r="B453" s="55">
        <f>IF('04_DATA'!A450="","",'04_DATA'!A450)</f>
        <v/>
      </c>
      <c r="C453" s="55">
        <f>IF('04_DATA'!A450="","",IF(AND('04_DATA'!G450=1,'04_DATA'!H450=1,'04_DATA'!I450&gt;=3),"eligible","EXCLUDE"))</f>
        <v/>
      </c>
      <c r="D453" s="55">
        <f>IF('04_DATA'!A450="","",37-COUNT('04_DATA'!$K450:$AU450))</f>
        <v/>
      </c>
      <c r="E453" s="63">
        <f>IF('04_DATA'!A450="","",(37-COUNT('04_DATA'!$K450:$AU450))/37)</f>
        <v/>
      </c>
      <c r="F453" s="55">
        <f>IF('04_DATA'!A450="","",IF(AND(COUNT('04_DATA'!$K450:$AU450)=37,COUNTIF('04_DATA'!$K450:$AU450,INDEX('04_DATA'!$K450:$AU450,1))=37),"EXCLUDE","ok"))</f>
        <v/>
      </c>
      <c r="G453" s="55">
        <f>IF('04_DATA'!A450="","",IF('04_DATA'!D450&lt;PERCENTILE('04_DATA'!$D$2:$D$1001,0.05),"FLAG","ok"))</f>
        <v/>
      </c>
      <c r="H453" s="55">
        <f>IF('04_DATA'!A450="","",IF(OR(C453="EXCLUDE",F453="EXCLUDE"),"Exclude under pre-specified rule",IF(E453&gt;0.15,"Exclude: &gt;15% missing",IF(G453="FLAG","Retain; test in robustness battery","Retain"))))</f>
        <v/>
      </c>
    </row>
    <row r="454">
      <c r="A454" s="55" t="n">
        <v>451</v>
      </c>
      <c r="B454" s="55">
        <f>IF('04_DATA'!A451="","",'04_DATA'!A451)</f>
        <v/>
      </c>
      <c r="C454" s="55">
        <f>IF('04_DATA'!A451="","",IF(AND('04_DATA'!G451=1,'04_DATA'!H451=1,'04_DATA'!I451&gt;=3),"eligible","EXCLUDE"))</f>
        <v/>
      </c>
      <c r="D454" s="55">
        <f>IF('04_DATA'!A451="","",37-COUNT('04_DATA'!$K451:$AU451))</f>
        <v/>
      </c>
      <c r="E454" s="63">
        <f>IF('04_DATA'!A451="","",(37-COUNT('04_DATA'!$K451:$AU451))/37)</f>
        <v/>
      </c>
      <c r="F454" s="55">
        <f>IF('04_DATA'!A451="","",IF(AND(COUNT('04_DATA'!$K451:$AU451)=37,COUNTIF('04_DATA'!$K451:$AU451,INDEX('04_DATA'!$K451:$AU451,1))=37),"EXCLUDE","ok"))</f>
        <v/>
      </c>
      <c r="G454" s="55">
        <f>IF('04_DATA'!A451="","",IF('04_DATA'!D451&lt;PERCENTILE('04_DATA'!$D$2:$D$1001,0.05),"FLAG","ok"))</f>
        <v/>
      </c>
      <c r="H454" s="55">
        <f>IF('04_DATA'!A451="","",IF(OR(C454="EXCLUDE",F454="EXCLUDE"),"Exclude under pre-specified rule",IF(E454&gt;0.15,"Exclude: &gt;15% missing",IF(G454="FLAG","Retain; test in robustness battery","Retain"))))</f>
        <v/>
      </c>
    </row>
    <row r="455">
      <c r="A455" s="55" t="n">
        <v>452</v>
      </c>
      <c r="B455" s="55">
        <f>IF('04_DATA'!A452="","",'04_DATA'!A452)</f>
        <v/>
      </c>
      <c r="C455" s="55">
        <f>IF('04_DATA'!A452="","",IF(AND('04_DATA'!G452=1,'04_DATA'!H452=1,'04_DATA'!I452&gt;=3),"eligible","EXCLUDE"))</f>
        <v/>
      </c>
      <c r="D455" s="55">
        <f>IF('04_DATA'!A452="","",37-COUNT('04_DATA'!$K452:$AU452))</f>
        <v/>
      </c>
      <c r="E455" s="63">
        <f>IF('04_DATA'!A452="","",(37-COUNT('04_DATA'!$K452:$AU452))/37)</f>
        <v/>
      </c>
      <c r="F455" s="55">
        <f>IF('04_DATA'!A452="","",IF(AND(COUNT('04_DATA'!$K452:$AU452)=37,COUNTIF('04_DATA'!$K452:$AU452,INDEX('04_DATA'!$K452:$AU452,1))=37),"EXCLUDE","ok"))</f>
        <v/>
      </c>
      <c r="G455" s="55">
        <f>IF('04_DATA'!A452="","",IF('04_DATA'!D452&lt;PERCENTILE('04_DATA'!$D$2:$D$1001,0.05),"FLAG","ok"))</f>
        <v/>
      </c>
      <c r="H455" s="55">
        <f>IF('04_DATA'!A452="","",IF(OR(C455="EXCLUDE",F455="EXCLUDE"),"Exclude under pre-specified rule",IF(E455&gt;0.15,"Exclude: &gt;15% missing",IF(G455="FLAG","Retain; test in robustness battery","Retain"))))</f>
        <v/>
      </c>
    </row>
    <row r="456">
      <c r="A456" s="55" t="n">
        <v>453</v>
      </c>
      <c r="B456" s="55">
        <f>IF('04_DATA'!A453="","",'04_DATA'!A453)</f>
        <v/>
      </c>
      <c r="C456" s="55">
        <f>IF('04_DATA'!A453="","",IF(AND('04_DATA'!G453=1,'04_DATA'!H453=1,'04_DATA'!I453&gt;=3),"eligible","EXCLUDE"))</f>
        <v/>
      </c>
      <c r="D456" s="55">
        <f>IF('04_DATA'!A453="","",37-COUNT('04_DATA'!$K453:$AU453))</f>
        <v/>
      </c>
      <c r="E456" s="63">
        <f>IF('04_DATA'!A453="","",(37-COUNT('04_DATA'!$K453:$AU453))/37)</f>
        <v/>
      </c>
      <c r="F456" s="55">
        <f>IF('04_DATA'!A453="","",IF(AND(COUNT('04_DATA'!$K453:$AU453)=37,COUNTIF('04_DATA'!$K453:$AU453,INDEX('04_DATA'!$K453:$AU453,1))=37),"EXCLUDE","ok"))</f>
        <v/>
      </c>
      <c r="G456" s="55">
        <f>IF('04_DATA'!A453="","",IF('04_DATA'!D453&lt;PERCENTILE('04_DATA'!$D$2:$D$1001,0.05),"FLAG","ok"))</f>
        <v/>
      </c>
      <c r="H456" s="55">
        <f>IF('04_DATA'!A453="","",IF(OR(C456="EXCLUDE",F456="EXCLUDE"),"Exclude under pre-specified rule",IF(E456&gt;0.15,"Exclude: &gt;15% missing",IF(G456="FLAG","Retain; test in robustness battery","Retain"))))</f>
        <v/>
      </c>
    </row>
    <row r="457">
      <c r="A457" s="55" t="n">
        <v>454</v>
      </c>
      <c r="B457" s="55">
        <f>IF('04_DATA'!A454="","",'04_DATA'!A454)</f>
        <v/>
      </c>
      <c r="C457" s="55">
        <f>IF('04_DATA'!A454="","",IF(AND('04_DATA'!G454=1,'04_DATA'!H454=1,'04_DATA'!I454&gt;=3),"eligible","EXCLUDE"))</f>
        <v/>
      </c>
      <c r="D457" s="55">
        <f>IF('04_DATA'!A454="","",37-COUNT('04_DATA'!$K454:$AU454))</f>
        <v/>
      </c>
      <c r="E457" s="63">
        <f>IF('04_DATA'!A454="","",(37-COUNT('04_DATA'!$K454:$AU454))/37)</f>
        <v/>
      </c>
      <c r="F457" s="55">
        <f>IF('04_DATA'!A454="","",IF(AND(COUNT('04_DATA'!$K454:$AU454)=37,COUNTIF('04_DATA'!$K454:$AU454,INDEX('04_DATA'!$K454:$AU454,1))=37),"EXCLUDE","ok"))</f>
        <v/>
      </c>
      <c r="G457" s="55">
        <f>IF('04_DATA'!A454="","",IF('04_DATA'!D454&lt;PERCENTILE('04_DATA'!$D$2:$D$1001,0.05),"FLAG","ok"))</f>
        <v/>
      </c>
      <c r="H457" s="55">
        <f>IF('04_DATA'!A454="","",IF(OR(C457="EXCLUDE",F457="EXCLUDE"),"Exclude under pre-specified rule",IF(E457&gt;0.15,"Exclude: &gt;15% missing",IF(G457="FLAG","Retain; test in robustness battery","Retain"))))</f>
        <v/>
      </c>
    </row>
    <row r="458">
      <c r="A458" s="55" t="n">
        <v>455</v>
      </c>
      <c r="B458" s="55">
        <f>IF('04_DATA'!A455="","",'04_DATA'!A455)</f>
        <v/>
      </c>
      <c r="C458" s="55">
        <f>IF('04_DATA'!A455="","",IF(AND('04_DATA'!G455=1,'04_DATA'!H455=1,'04_DATA'!I455&gt;=3),"eligible","EXCLUDE"))</f>
        <v/>
      </c>
      <c r="D458" s="55">
        <f>IF('04_DATA'!A455="","",37-COUNT('04_DATA'!$K455:$AU455))</f>
        <v/>
      </c>
      <c r="E458" s="63">
        <f>IF('04_DATA'!A455="","",(37-COUNT('04_DATA'!$K455:$AU455))/37)</f>
        <v/>
      </c>
      <c r="F458" s="55">
        <f>IF('04_DATA'!A455="","",IF(AND(COUNT('04_DATA'!$K455:$AU455)=37,COUNTIF('04_DATA'!$K455:$AU455,INDEX('04_DATA'!$K455:$AU455,1))=37),"EXCLUDE","ok"))</f>
        <v/>
      </c>
      <c r="G458" s="55">
        <f>IF('04_DATA'!A455="","",IF('04_DATA'!D455&lt;PERCENTILE('04_DATA'!$D$2:$D$1001,0.05),"FLAG","ok"))</f>
        <v/>
      </c>
      <c r="H458" s="55">
        <f>IF('04_DATA'!A455="","",IF(OR(C458="EXCLUDE",F458="EXCLUDE"),"Exclude under pre-specified rule",IF(E458&gt;0.15,"Exclude: &gt;15% missing",IF(G458="FLAG","Retain; test in robustness battery","Retain"))))</f>
        <v/>
      </c>
    </row>
    <row r="459">
      <c r="A459" s="55" t="n">
        <v>456</v>
      </c>
      <c r="B459" s="55">
        <f>IF('04_DATA'!A456="","",'04_DATA'!A456)</f>
        <v/>
      </c>
      <c r="C459" s="55">
        <f>IF('04_DATA'!A456="","",IF(AND('04_DATA'!G456=1,'04_DATA'!H456=1,'04_DATA'!I456&gt;=3),"eligible","EXCLUDE"))</f>
        <v/>
      </c>
      <c r="D459" s="55">
        <f>IF('04_DATA'!A456="","",37-COUNT('04_DATA'!$K456:$AU456))</f>
        <v/>
      </c>
      <c r="E459" s="63">
        <f>IF('04_DATA'!A456="","",(37-COUNT('04_DATA'!$K456:$AU456))/37)</f>
        <v/>
      </c>
      <c r="F459" s="55">
        <f>IF('04_DATA'!A456="","",IF(AND(COUNT('04_DATA'!$K456:$AU456)=37,COUNTIF('04_DATA'!$K456:$AU456,INDEX('04_DATA'!$K456:$AU456,1))=37),"EXCLUDE","ok"))</f>
        <v/>
      </c>
      <c r="G459" s="55">
        <f>IF('04_DATA'!A456="","",IF('04_DATA'!D456&lt;PERCENTILE('04_DATA'!$D$2:$D$1001,0.05),"FLAG","ok"))</f>
        <v/>
      </c>
      <c r="H459" s="55">
        <f>IF('04_DATA'!A456="","",IF(OR(C459="EXCLUDE",F459="EXCLUDE"),"Exclude under pre-specified rule",IF(E459&gt;0.15,"Exclude: &gt;15% missing",IF(G459="FLAG","Retain; test in robustness battery","Retain"))))</f>
        <v/>
      </c>
    </row>
    <row r="460">
      <c r="A460" s="55" t="n">
        <v>457</v>
      </c>
      <c r="B460" s="55">
        <f>IF('04_DATA'!A457="","",'04_DATA'!A457)</f>
        <v/>
      </c>
      <c r="C460" s="55">
        <f>IF('04_DATA'!A457="","",IF(AND('04_DATA'!G457=1,'04_DATA'!H457=1,'04_DATA'!I457&gt;=3),"eligible","EXCLUDE"))</f>
        <v/>
      </c>
      <c r="D460" s="55">
        <f>IF('04_DATA'!A457="","",37-COUNT('04_DATA'!$K457:$AU457))</f>
        <v/>
      </c>
      <c r="E460" s="63">
        <f>IF('04_DATA'!A457="","",(37-COUNT('04_DATA'!$K457:$AU457))/37)</f>
        <v/>
      </c>
      <c r="F460" s="55">
        <f>IF('04_DATA'!A457="","",IF(AND(COUNT('04_DATA'!$K457:$AU457)=37,COUNTIF('04_DATA'!$K457:$AU457,INDEX('04_DATA'!$K457:$AU457,1))=37),"EXCLUDE","ok"))</f>
        <v/>
      </c>
      <c r="G460" s="55">
        <f>IF('04_DATA'!A457="","",IF('04_DATA'!D457&lt;PERCENTILE('04_DATA'!$D$2:$D$1001,0.05),"FLAG","ok"))</f>
        <v/>
      </c>
      <c r="H460" s="55">
        <f>IF('04_DATA'!A457="","",IF(OR(C460="EXCLUDE",F460="EXCLUDE"),"Exclude under pre-specified rule",IF(E460&gt;0.15,"Exclude: &gt;15% missing",IF(G460="FLAG","Retain; test in robustness battery","Retain"))))</f>
        <v/>
      </c>
    </row>
    <row r="461">
      <c r="A461" s="55" t="n">
        <v>458</v>
      </c>
      <c r="B461" s="55">
        <f>IF('04_DATA'!A458="","",'04_DATA'!A458)</f>
        <v/>
      </c>
      <c r="C461" s="55">
        <f>IF('04_DATA'!A458="","",IF(AND('04_DATA'!G458=1,'04_DATA'!H458=1,'04_DATA'!I458&gt;=3),"eligible","EXCLUDE"))</f>
        <v/>
      </c>
      <c r="D461" s="55">
        <f>IF('04_DATA'!A458="","",37-COUNT('04_DATA'!$K458:$AU458))</f>
        <v/>
      </c>
      <c r="E461" s="63">
        <f>IF('04_DATA'!A458="","",(37-COUNT('04_DATA'!$K458:$AU458))/37)</f>
        <v/>
      </c>
      <c r="F461" s="55">
        <f>IF('04_DATA'!A458="","",IF(AND(COUNT('04_DATA'!$K458:$AU458)=37,COUNTIF('04_DATA'!$K458:$AU458,INDEX('04_DATA'!$K458:$AU458,1))=37),"EXCLUDE","ok"))</f>
        <v/>
      </c>
      <c r="G461" s="55">
        <f>IF('04_DATA'!A458="","",IF('04_DATA'!D458&lt;PERCENTILE('04_DATA'!$D$2:$D$1001,0.05),"FLAG","ok"))</f>
        <v/>
      </c>
      <c r="H461" s="55">
        <f>IF('04_DATA'!A458="","",IF(OR(C461="EXCLUDE",F461="EXCLUDE"),"Exclude under pre-specified rule",IF(E461&gt;0.15,"Exclude: &gt;15% missing",IF(G461="FLAG","Retain; test in robustness battery","Retain"))))</f>
        <v/>
      </c>
    </row>
    <row r="462">
      <c r="A462" s="55" t="n">
        <v>459</v>
      </c>
      <c r="B462" s="55">
        <f>IF('04_DATA'!A459="","",'04_DATA'!A459)</f>
        <v/>
      </c>
      <c r="C462" s="55">
        <f>IF('04_DATA'!A459="","",IF(AND('04_DATA'!G459=1,'04_DATA'!H459=1,'04_DATA'!I459&gt;=3),"eligible","EXCLUDE"))</f>
        <v/>
      </c>
      <c r="D462" s="55">
        <f>IF('04_DATA'!A459="","",37-COUNT('04_DATA'!$K459:$AU459))</f>
        <v/>
      </c>
      <c r="E462" s="63">
        <f>IF('04_DATA'!A459="","",(37-COUNT('04_DATA'!$K459:$AU459))/37)</f>
        <v/>
      </c>
      <c r="F462" s="55">
        <f>IF('04_DATA'!A459="","",IF(AND(COUNT('04_DATA'!$K459:$AU459)=37,COUNTIF('04_DATA'!$K459:$AU459,INDEX('04_DATA'!$K459:$AU459,1))=37),"EXCLUDE","ok"))</f>
        <v/>
      </c>
      <c r="G462" s="55">
        <f>IF('04_DATA'!A459="","",IF('04_DATA'!D459&lt;PERCENTILE('04_DATA'!$D$2:$D$1001,0.05),"FLAG","ok"))</f>
        <v/>
      </c>
      <c r="H462" s="55">
        <f>IF('04_DATA'!A459="","",IF(OR(C462="EXCLUDE",F462="EXCLUDE"),"Exclude under pre-specified rule",IF(E462&gt;0.15,"Exclude: &gt;15% missing",IF(G462="FLAG","Retain; test in robustness battery","Retain"))))</f>
        <v/>
      </c>
    </row>
    <row r="463">
      <c r="A463" s="55" t="n">
        <v>460</v>
      </c>
      <c r="B463" s="55">
        <f>IF('04_DATA'!A460="","",'04_DATA'!A460)</f>
        <v/>
      </c>
      <c r="C463" s="55">
        <f>IF('04_DATA'!A460="","",IF(AND('04_DATA'!G460=1,'04_DATA'!H460=1,'04_DATA'!I460&gt;=3),"eligible","EXCLUDE"))</f>
        <v/>
      </c>
      <c r="D463" s="55">
        <f>IF('04_DATA'!A460="","",37-COUNT('04_DATA'!$K460:$AU460))</f>
        <v/>
      </c>
      <c r="E463" s="63">
        <f>IF('04_DATA'!A460="","",(37-COUNT('04_DATA'!$K460:$AU460))/37)</f>
        <v/>
      </c>
      <c r="F463" s="55">
        <f>IF('04_DATA'!A460="","",IF(AND(COUNT('04_DATA'!$K460:$AU460)=37,COUNTIF('04_DATA'!$K460:$AU460,INDEX('04_DATA'!$K460:$AU460,1))=37),"EXCLUDE","ok"))</f>
        <v/>
      </c>
      <c r="G463" s="55">
        <f>IF('04_DATA'!A460="","",IF('04_DATA'!D460&lt;PERCENTILE('04_DATA'!$D$2:$D$1001,0.05),"FLAG","ok"))</f>
        <v/>
      </c>
      <c r="H463" s="55">
        <f>IF('04_DATA'!A460="","",IF(OR(C463="EXCLUDE",F463="EXCLUDE"),"Exclude under pre-specified rule",IF(E463&gt;0.15,"Exclude: &gt;15% missing",IF(G463="FLAG","Retain; test in robustness battery","Retain"))))</f>
        <v/>
      </c>
    </row>
    <row r="464">
      <c r="A464" s="55" t="n">
        <v>461</v>
      </c>
      <c r="B464" s="55">
        <f>IF('04_DATA'!A461="","",'04_DATA'!A461)</f>
        <v/>
      </c>
      <c r="C464" s="55">
        <f>IF('04_DATA'!A461="","",IF(AND('04_DATA'!G461=1,'04_DATA'!H461=1,'04_DATA'!I461&gt;=3),"eligible","EXCLUDE"))</f>
        <v/>
      </c>
      <c r="D464" s="55">
        <f>IF('04_DATA'!A461="","",37-COUNT('04_DATA'!$K461:$AU461))</f>
        <v/>
      </c>
      <c r="E464" s="63">
        <f>IF('04_DATA'!A461="","",(37-COUNT('04_DATA'!$K461:$AU461))/37)</f>
        <v/>
      </c>
      <c r="F464" s="55">
        <f>IF('04_DATA'!A461="","",IF(AND(COUNT('04_DATA'!$K461:$AU461)=37,COUNTIF('04_DATA'!$K461:$AU461,INDEX('04_DATA'!$K461:$AU461,1))=37),"EXCLUDE","ok"))</f>
        <v/>
      </c>
      <c r="G464" s="55">
        <f>IF('04_DATA'!A461="","",IF('04_DATA'!D461&lt;PERCENTILE('04_DATA'!$D$2:$D$1001,0.05),"FLAG","ok"))</f>
        <v/>
      </c>
      <c r="H464" s="55">
        <f>IF('04_DATA'!A461="","",IF(OR(C464="EXCLUDE",F464="EXCLUDE"),"Exclude under pre-specified rule",IF(E464&gt;0.15,"Exclude: &gt;15% missing",IF(G464="FLAG","Retain; test in robustness battery","Retain"))))</f>
        <v/>
      </c>
    </row>
    <row r="465">
      <c r="A465" s="55" t="n">
        <v>462</v>
      </c>
      <c r="B465" s="55">
        <f>IF('04_DATA'!A462="","",'04_DATA'!A462)</f>
        <v/>
      </c>
      <c r="C465" s="55">
        <f>IF('04_DATA'!A462="","",IF(AND('04_DATA'!G462=1,'04_DATA'!H462=1,'04_DATA'!I462&gt;=3),"eligible","EXCLUDE"))</f>
        <v/>
      </c>
      <c r="D465" s="55">
        <f>IF('04_DATA'!A462="","",37-COUNT('04_DATA'!$K462:$AU462))</f>
        <v/>
      </c>
      <c r="E465" s="63">
        <f>IF('04_DATA'!A462="","",(37-COUNT('04_DATA'!$K462:$AU462))/37)</f>
        <v/>
      </c>
      <c r="F465" s="55">
        <f>IF('04_DATA'!A462="","",IF(AND(COUNT('04_DATA'!$K462:$AU462)=37,COUNTIF('04_DATA'!$K462:$AU462,INDEX('04_DATA'!$K462:$AU462,1))=37),"EXCLUDE","ok"))</f>
        <v/>
      </c>
      <c r="G465" s="55">
        <f>IF('04_DATA'!A462="","",IF('04_DATA'!D462&lt;PERCENTILE('04_DATA'!$D$2:$D$1001,0.05),"FLAG","ok"))</f>
        <v/>
      </c>
      <c r="H465" s="55">
        <f>IF('04_DATA'!A462="","",IF(OR(C465="EXCLUDE",F465="EXCLUDE"),"Exclude under pre-specified rule",IF(E465&gt;0.15,"Exclude: &gt;15% missing",IF(G465="FLAG","Retain; test in robustness battery","Retain"))))</f>
        <v/>
      </c>
    </row>
    <row r="466">
      <c r="A466" s="55" t="n">
        <v>463</v>
      </c>
      <c r="B466" s="55">
        <f>IF('04_DATA'!A463="","",'04_DATA'!A463)</f>
        <v/>
      </c>
      <c r="C466" s="55">
        <f>IF('04_DATA'!A463="","",IF(AND('04_DATA'!G463=1,'04_DATA'!H463=1,'04_DATA'!I463&gt;=3),"eligible","EXCLUDE"))</f>
        <v/>
      </c>
      <c r="D466" s="55">
        <f>IF('04_DATA'!A463="","",37-COUNT('04_DATA'!$K463:$AU463))</f>
        <v/>
      </c>
      <c r="E466" s="63">
        <f>IF('04_DATA'!A463="","",(37-COUNT('04_DATA'!$K463:$AU463))/37)</f>
        <v/>
      </c>
      <c r="F466" s="55">
        <f>IF('04_DATA'!A463="","",IF(AND(COUNT('04_DATA'!$K463:$AU463)=37,COUNTIF('04_DATA'!$K463:$AU463,INDEX('04_DATA'!$K463:$AU463,1))=37),"EXCLUDE","ok"))</f>
        <v/>
      </c>
      <c r="G466" s="55">
        <f>IF('04_DATA'!A463="","",IF('04_DATA'!D463&lt;PERCENTILE('04_DATA'!$D$2:$D$1001,0.05),"FLAG","ok"))</f>
        <v/>
      </c>
      <c r="H466" s="55">
        <f>IF('04_DATA'!A463="","",IF(OR(C466="EXCLUDE",F466="EXCLUDE"),"Exclude under pre-specified rule",IF(E466&gt;0.15,"Exclude: &gt;15% missing",IF(G466="FLAG","Retain; test in robustness battery","Retain"))))</f>
        <v/>
      </c>
    </row>
    <row r="467">
      <c r="A467" s="55" t="n">
        <v>464</v>
      </c>
      <c r="B467" s="55">
        <f>IF('04_DATA'!A464="","",'04_DATA'!A464)</f>
        <v/>
      </c>
      <c r="C467" s="55">
        <f>IF('04_DATA'!A464="","",IF(AND('04_DATA'!G464=1,'04_DATA'!H464=1,'04_DATA'!I464&gt;=3),"eligible","EXCLUDE"))</f>
        <v/>
      </c>
      <c r="D467" s="55">
        <f>IF('04_DATA'!A464="","",37-COUNT('04_DATA'!$K464:$AU464))</f>
        <v/>
      </c>
      <c r="E467" s="63">
        <f>IF('04_DATA'!A464="","",(37-COUNT('04_DATA'!$K464:$AU464))/37)</f>
        <v/>
      </c>
      <c r="F467" s="55">
        <f>IF('04_DATA'!A464="","",IF(AND(COUNT('04_DATA'!$K464:$AU464)=37,COUNTIF('04_DATA'!$K464:$AU464,INDEX('04_DATA'!$K464:$AU464,1))=37),"EXCLUDE","ok"))</f>
        <v/>
      </c>
      <c r="G467" s="55">
        <f>IF('04_DATA'!A464="","",IF('04_DATA'!D464&lt;PERCENTILE('04_DATA'!$D$2:$D$1001,0.05),"FLAG","ok"))</f>
        <v/>
      </c>
      <c r="H467" s="55">
        <f>IF('04_DATA'!A464="","",IF(OR(C467="EXCLUDE",F467="EXCLUDE"),"Exclude under pre-specified rule",IF(E467&gt;0.15,"Exclude: &gt;15% missing",IF(G467="FLAG","Retain; test in robustness battery","Retain"))))</f>
        <v/>
      </c>
    </row>
    <row r="468">
      <c r="A468" s="55" t="n">
        <v>465</v>
      </c>
      <c r="B468" s="55">
        <f>IF('04_DATA'!A465="","",'04_DATA'!A465)</f>
        <v/>
      </c>
      <c r="C468" s="55">
        <f>IF('04_DATA'!A465="","",IF(AND('04_DATA'!G465=1,'04_DATA'!H465=1,'04_DATA'!I465&gt;=3),"eligible","EXCLUDE"))</f>
        <v/>
      </c>
      <c r="D468" s="55">
        <f>IF('04_DATA'!A465="","",37-COUNT('04_DATA'!$K465:$AU465))</f>
        <v/>
      </c>
      <c r="E468" s="63">
        <f>IF('04_DATA'!A465="","",(37-COUNT('04_DATA'!$K465:$AU465))/37)</f>
        <v/>
      </c>
      <c r="F468" s="55">
        <f>IF('04_DATA'!A465="","",IF(AND(COUNT('04_DATA'!$K465:$AU465)=37,COUNTIF('04_DATA'!$K465:$AU465,INDEX('04_DATA'!$K465:$AU465,1))=37),"EXCLUDE","ok"))</f>
        <v/>
      </c>
      <c r="G468" s="55">
        <f>IF('04_DATA'!A465="","",IF('04_DATA'!D465&lt;PERCENTILE('04_DATA'!$D$2:$D$1001,0.05),"FLAG","ok"))</f>
        <v/>
      </c>
      <c r="H468" s="55">
        <f>IF('04_DATA'!A465="","",IF(OR(C468="EXCLUDE",F468="EXCLUDE"),"Exclude under pre-specified rule",IF(E468&gt;0.15,"Exclude: &gt;15% missing",IF(G468="FLAG","Retain; test in robustness battery","Retain"))))</f>
        <v/>
      </c>
    </row>
    <row r="469">
      <c r="A469" s="55" t="n">
        <v>466</v>
      </c>
      <c r="B469" s="55">
        <f>IF('04_DATA'!A466="","",'04_DATA'!A466)</f>
        <v/>
      </c>
      <c r="C469" s="55">
        <f>IF('04_DATA'!A466="","",IF(AND('04_DATA'!G466=1,'04_DATA'!H466=1,'04_DATA'!I466&gt;=3),"eligible","EXCLUDE"))</f>
        <v/>
      </c>
      <c r="D469" s="55">
        <f>IF('04_DATA'!A466="","",37-COUNT('04_DATA'!$K466:$AU466))</f>
        <v/>
      </c>
      <c r="E469" s="63">
        <f>IF('04_DATA'!A466="","",(37-COUNT('04_DATA'!$K466:$AU466))/37)</f>
        <v/>
      </c>
      <c r="F469" s="55">
        <f>IF('04_DATA'!A466="","",IF(AND(COUNT('04_DATA'!$K466:$AU466)=37,COUNTIF('04_DATA'!$K466:$AU466,INDEX('04_DATA'!$K466:$AU466,1))=37),"EXCLUDE","ok"))</f>
        <v/>
      </c>
      <c r="G469" s="55">
        <f>IF('04_DATA'!A466="","",IF('04_DATA'!D466&lt;PERCENTILE('04_DATA'!$D$2:$D$1001,0.05),"FLAG","ok"))</f>
        <v/>
      </c>
      <c r="H469" s="55">
        <f>IF('04_DATA'!A466="","",IF(OR(C469="EXCLUDE",F469="EXCLUDE"),"Exclude under pre-specified rule",IF(E469&gt;0.15,"Exclude: &gt;15% missing",IF(G469="FLAG","Retain; test in robustness battery","Retain"))))</f>
        <v/>
      </c>
    </row>
    <row r="470">
      <c r="A470" s="55" t="n">
        <v>467</v>
      </c>
      <c r="B470" s="55">
        <f>IF('04_DATA'!A467="","",'04_DATA'!A467)</f>
        <v/>
      </c>
      <c r="C470" s="55">
        <f>IF('04_DATA'!A467="","",IF(AND('04_DATA'!G467=1,'04_DATA'!H467=1,'04_DATA'!I467&gt;=3),"eligible","EXCLUDE"))</f>
        <v/>
      </c>
      <c r="D470" s="55">
        <f>IF('04_DATA'!A467="","",37-COUNT('04_DATA'!$K467:$AU467))</f>
        <v/>
      </c>
      <c r="E470" s="63">
        <f>IF('04_DATA'!A467="","",(37-COUNT('04_DATA'!$K467:$AU467))/37)</f>
        <v/>
      </c>
      <c r="F470" s="55">
        <f>IF('04_DATA'!A467="","",IF(AND(COUNT('04_DATA'!$K467:$AU467)=37,COUNTIF('04_DATA'!$K467:$AU467,INDEX('04_DATA'!$K467:$AU467,1))=37),"EXCLUDE","ok"))</f>
        <v/>
      </c>
      <c r="G470" s="55">
        <f>IF('04_DATA'!A467="","",IF('04_DATA'!D467&lt;PERCENTILE('04_DATA'!$D$2:$D$1001,0.05),"FLAG","ok"))</f>
        <v/>
      </c>
      <c r="H470" s="55">
        <f>IF('04_DATA'!A467="","",IF(OR(C470="EXCLUDE",F470="EXCLUDE"),"Exclude under pre-specified rule",IF(E470&gt;0.15,"Exclude: &gt;15% missing",IF(G470="FLAG","Retain; test in robustness battery","Retain"))))</f>
        <v/>
      </c>
    </row>
    <row r="471">
      <c r="A471" s="55" t="n">
        <v>468</v>
      </c>
      <c r="B471" s="55">
        <f>IF('04_DATA'!A468="","",'04_DATA'!A468)</f>
        <v/>
      </c>
      <c r="C471" s="55">
        <f>IF('04_DATA'!A468="","",IF(AND('04_DATA'!G468=1,'04_DATA'!H468=1,'04_DATA'!I468&gt;=3),"eligible","EXCLUDE"))</f>
        <v/>
      </c>
      <c r="D471" s="55">
        <f>IF('04_DATA'!A468="","",37-COUNT('04_DATA'!$K468:$AU468))</f>
        <v/>
      </c>
      <c r="E471" s="63">
        <f>IF('04_DATA'!A468="","",(37-COUNT('04_DATA'!$K468:$AU468))/37)</f>
        <v/>
      </c>
      <c r="F471" s="55">
        <f>IF('04_DATA'!A468="","",IF(AND(COUNT('04_DATA'!$K468:$AU468)=37,COUNTIF('04_DATA'!$K468:$AU468,INDEX('04_DATA'!$K468:$AU468,1))=37),"EXCLUDE","ok"))</f>
        <v/>
      </c>
      <c r="G471" s="55">
        <f>IF('04_DATA'!A468="","",IF('04_DATA'!D468&lt;PERCENTILE('04_DATA'!$D$2:$D$1001,0.05),"FLAG","ok"))</f>
        <v/>
      </c>
      <c r="H471" s="55">
        <f>IF('04_DATA'!A468="","",IF(OR(C471="EXCLUDE",F471="EXCLUDE"),"Exclude under pre-specified rule",IF(E471&gt;0.15,"Exclude: &gt;15% missing",IF(G471="FLAG","Retain; test in robustness battery","Retain"))))</f>
        <v/>
      </c>
    </row>
    <row r="472">
      <c r="A472" s="55" t="n">
        <v>469</v>
      </c>
      <c r="B472" s="55">
        <f>IF('04_DATA'!A469="","",'04_DATA'!A469)</f>
        <v/>
      </c>
      <c r="C472" s="55">
        <f>IF('04_DATA'!A469="","",IF(AND('04_DATA'!G469=1,'04_DATA'!H469=1,'04_DATA'!I469&gt;=3),"eligible","EXCLUDE"))</f>
        <v/>
      </c>
      <c r="D472" s="55">
        <f>IF('04_DATA'!A469="","",37-COUNT('04_DATA'!$K469:$AU469))</f>
        <v/>
      </c>
      <c r="E472" s="63">
        <f>IF('04_DATA'!A469="","",(37-COUNT('04_DATA'!$K469:$AU469))/37)</f>
        <v/>
      </c>
      <c r="F472" s="55">
        <f>IF('04_DATA'!A469="","",IF(AND(COUNT('04_DATA'!$K469:$AU469)=37,COUNTIF('04_DATA'!$K469:$AU469,INDEX('04_DATA'!$K469:$AU469,1))=37),"EXCLUDE","ok"))</f>
        <v/>
      </c>
      <c r="G472" s="55">
        <f>IF('04_DATA'!A469="","",IF('04_DATA'!D469&lt;PERCENTILE('04_DATA'!$D$2:$D$1001,0.05),"FLAG","ok"))</f>
        <v/>
      </c>
      <c r="H472" s="55">
        <f>IF('04_DATA'!A469="","",IF(OR(C472="EXCLUDE",F472="EXCLUDE"),"Exclude under pre-specified rule",IF(E472&gt;0.15,"Exclude: &gt;15% missing",IF(G472="FLAG","Retain; test in robustness battery","Retain"))))</f>
        <v/>
      </c>
    </row>
    <row r="473">
      <c r="A473" s="55" t="n">
        <v>470</v>
      </c>
      <c r="B473" s="55">
        <f>IF('04_DATA'!A470="","",'04_DATA'!A470)</f>
        <v/>
      </c>
      <c r="C473" s="55">
        <f>IF('04_DATA'!A470="","",IF(AND('04_DATA'!G470=1,'04_DATA'!H470=1,'04_DATA'!I470&gt;=3),"eligible","EXCLUDE"))</f>
        <v/>
      </c>
      <c r="D473" s="55">
        <f>IF('04_DATA'!A470="","",37-COUNT('04_DATA'!$K470:$AU470))</f>
        <v/>
      </c>
      <c r="E473" s="63">
        <f>IF('04_DATA'!A470="","",(37-COUNT('04_DATA'!$K470:$AU470))/37)</f>
        <v/>
      </c>
      <c r="F473" s="55">
        <f>IF('04_DATA'!A470="","",IF(AND(COUNT('04_DATA'!$K470:$AU470)=37,COUNTIF('04_DATA'!$K470:$AU470,INDEX('04_DATA'!$K470:$AU470,1))=37),"EXCLUDE","ok"))</f>
        <v/>
      </c>
      <c r="G473" s="55">
        <f>IF('04_DATA'!A470="","",IF('04_DATA'!D470&lt;PERCENTILE('04_DATA'!$D$2:$D$1001,0.05),"FLAG","ok"))</f>
        <v/>
      </c>
      <c r="H473" s="55">
        <f>IF('04_DATA'!A470="","",IF(OR(C473="EXCLUDE",F473="EXCLUDE"),"Exclude under pre-specified rule",IF(E473&gt;0.15,"Exclude: &gt;15% missing",IF(G473="FLAG","Retain; test in robustness battery","Retain"))))</f>
        <v/>
      </c>
    </row>
    <row r="474">
      <c r="A474" s="55" t="n">
        <v>471</v>
      </c>
      <c r="B474" s="55">
        <f>IF('04_DATA'!A471="","",'04_DATA'!A471)</f>
        <v/>
      </c>
      <c r="C474" s="55">
        <f>IF('04_DATA'!A471="","",IF(AND('04_DATA'!G471=1,'04_DATA'!H471=1,'04_DATA'!I471&gt;=3),"eligible","EXCLUDE"))</f>
        <v/>
      </c>
      <c r="D474" s="55">
        <f>IF('04_DATA'!A471="","",37-COUNT('04_DATA'!$K471:$AU471))</f>
        <v/>
      </c>
      <c r="E474" s="63">
        <f>IF('04_DATA'!A471="","",(37-COUNT('04_DATA'!$K471:$AU471))/37)</f>
        <v/>
      </c>
      <c r="F474" s="55">
        <f>IF('04_DATA'!A471="","",IF(AND(COUNT('04_DATA'!$K471:$AU471)=37,COUNTIF('04_DATA'!$K471:$AU471,INDEX('04_DATA'!$K471:$AU471,1))=37),"EXCLUDE","ok"))</f>
        <v/>
      </c>
      <c r="G474" s="55">
        <f>IF('04_DATA'!A471="","",IF('04_DATA'!D471&lt;PERCENTILE('04_DATA'!$D$2:$D$1001,0.05),"FLAG","ok"))</f>
        <v/>
      </c>
      <c r="H474" s="55">
        <f>IF('04_DATA'!A471="","",IF(OR(C474="EXCLUDE",F474="EXCLUDE"),"Exclude under pre-specified rule",IF(E474&gt;0.15,"Exclude: &gt;15% missing",IF(G474="FLAG","Retain; test in robustness battery","Retain"))))</f>
        <v/>
      </c>
    </row>
    <row r="475">
      <c r="A475" s="55" t="n">
        <v>472</v>
      </c>
      <c r="B475" s="55">
        <f>IF('04_DATA'!A472="","",'04_DATA'!A472)</f>
        <v/>
      </c>
      <c r="C475" s="55">
        <f>IF('04_DATA'!A472="","",IF(AND('04_DATA'!G472=1,'04_DATA'!H472=1,'04_DATA'!I472&gt;=3),"eligible","EXCLUDE"))</f>
        <v/>
      </c>
      <c r="D475" s="55">
        <f>IF('04_DATA'!A472="","",37-COUNT('04_DATA'!$K472:$AU472))</f>
        <v/>
      </c>
      <c r="E475" s="63">
        <f>IF('04_DATA'!A472="","",(37-COUNT('04_DATA'!$K472:$AU472))/37)</f>
        <v/>
      </c>
      <c r="F475" s="55">
        <f>IF('04_DATA'!A472="","",IF(AND(COUNT('04_DATA'!$K472:$AU472)=37,COUNTIF('04_DATA'!$K472:$AU472,INDEX('04_DATA'!$K472:$AU472,1))=37),"EXCLUDE","ok"))</f>
        <v/>
      </c>
      <c r="G475" s="55">
        <f>IF('04_DATA'!A472="","",IF('04_DATA'!D472&lt;PERCENTILE('04_DATA'!$D$2:$D$1001,0.05),"FLAG","ok"))</f>
        <v/>
      </c>
      <c r="H475" s="55">
        <f>IF('04_DATA'!A472="","",IF(OR(C475="EXCLUDE",F475="EXCLUDE"),"Exclude under pre-specified rule",IF(E475&gt;0.15,"Exclude: &gt;15% missing",IF(G475="FLAG","Retain; test in robustness battery","Retain"))))</f>
        <v/>
      </c>
    </row>
    <row r="476">
      <c r="A476" s="55" t="n">
        <v>473</v>
      </c>
      <c r="B476" s="55">
        <f>IF('04_DATA'!A473="","",'04_DATA'!A473)</f>
        <v/>
      </c>
      <c r="C476" s="55">
        <f>IF('04_DATA'!A473="","",IF(AND('04_DATA'!G473=1,'04_DATA'!H473=1,'04_DATA'!I473&gt;=3),"eligible","EXCLUDE"))</f>
        <v/>
      </c>
      <c r="D476" s="55">
        <f>IF('04_DATA'!A473="","",37-COUNT('04_DATA'!$K473:$AU473))</f>
        <v/>
      </c>
      <c r="E476" s="63">
        <f>IF('04_DATA'!A473="","",(37-COUNT('04_DATA'!$K473:$AU473))/37)</f>
        <v/>
      </c>
      <c r="F476" s="55">
        <f>IF('04_DATA'!A473="","",IF(AND(COUNT('04_DATA'!$K473:$AU473)=37,COUNTIF('04_DATA'!$K473:$AU473,INDEX('04_DATA'!$K473:$AU473,1))=37),"EXCLUDE","ok"))</f>
        <v/>
      </c>
      <c r="G476" s="55">
        <f>IF('04_DATA'!A473="","",IF('04_DATA'!D473&lt;PERCENTILE('04_DATA'!$D$2:$D$1001,0.05),"FLAG","ok"))</f>
        <v/>
      </c>
      <c r="H476" s="55">
        <f>IF('04_DATA'!A473="","",IF(OR(C476="EXCLUDE",F476="EXCLUDE"),"Exclude under pre-specified rule",IF(E476&gt;0.15,"Exclude: &gt;15% missing",IF(G476="FLAG","Retain; test in robustness battery","Retain"))))</f>
        <v/>
      </c>
    </row>
    <row r="477">
      <c r="A477" s="55" t="n">
        <v>474</v>
      </c>
      <c r="B477" s="55">
        <f>IF('04_DATA'!A474="","",'04_DATA'!A474)</f>
        <v/>
      </c>
      <c r="C477" s="55">
        <f>IF('04_DATA'!A474="","",IF(AND('04_DATA'!G474=1,'04_DATA'!H474=1,'04_DATA'!I474&gt;=3),"eligible","EXCLUDE"))</f>
        <v/>
      </c>
      <c r="D477" s="55">
        <f>IF('04_DATA'!A474="","",37-COUNT('04_DATA'!$K474:$AU474))</f>
        <v/>
      </c>
      <c r="E477" s="63">
        <f>IF('04_DATA'!A474="","",(37-COUNT('04_DATA'!$K474:$AU474))/37)</f>
        <v/>
      </c>
      <c r="F477" s="55">
        <f>IF('04_DATA'!A474="","",IF(AND(COUNT('04_DATA'!$K474:$AU474)=37,COUNTIF('04_DATA'!$K474:$AU474,INDEX('04_DATA'!$K474:$AU474,1))=37),"EXCLUDE","ok"))</f>
        <v/>
      </c>
      <c r="G477" s="55">
        <f>IF('04_DATA'!A474="","",IF('04_DATA'!D474&lt;PERCENTILE('04_DATA'!$D$2:$D$1001,0.05),"FLAG","ok"))</f>
        <v/>
      </c>
      <c r="H477" s="55">
        <f>IF('04_DATA'!A474="","",IF(OR(C477="EXCLUDE",F477="EXCLUDE"),"Exclude under pre-specified rule",IF(E477&gt;0.15,"Exclude: &gt;15% missing",IF(G477="FLAG","Retain; test in robustness battery","Retain"))))</f>
        <v/>
      </c>
    </row>
    <row r="478">
      <c r="A478" s="55" t="n">
        <v>475</v>
      </c>
      <c r="B478" s="55">
        <f>IF('04_DATA'!A475="","",'04_DATA'!A475)</f>
        <v/>
      </c>
      <c r="C478" s="55">
        <f>IF('04_DATA'!A475="","",IF(AND('04_DATA'!G475=1,'04_DATA'!H475=1,'04_DATA'!I475&gt;=3),"eligible","EXCLUDE"))</f>
        <v/>
      </c>
      <c r="D478" s="55">
        <f>IF('04_DATA'!A475="","",37-COUNT('04_DATA'!$K475:$AU475))</f>
        <v/>
      </c>
      <c r="E478" s="63">
        <f>IF('04_DATA'!A475="","",(37-COUNT('04_DATA'!$K475:$AU475))/37)</f>
        <v/>
      </c>
      <c r="F478" s="55">
        <f>IF('04_DATA'!A475="","",IF(AND(COUNT('04_DATA'!$K475:$AU475)=37,COUNTIF('04_DATA'!$K475:$AU475,INDEX('04_DATA'!$K475:$AU475,1))=37),"EXCLUDE","ok"))</f>
        <v/>
      </c>
      <c r="G478" s="55">
        <f>IF('04_DATA'!A475="","",IF('04_DATA'!D475&lt;PERCENTILE('04_DATA'!$D$2:$D$1001,0.05),"FLAG","ok"))</f>
        <v/>
      </c>
      <c r="H478" s="55">
        <f>IF('04_DATA'!A475="","",IF(OR(C478="EXCLUDE",F478="EXCLUDE"),"Exclude under pre-specified rule",IF(E478&gt;0.15,"Exclude: &gt;15% missing",IF(G478="FLAG","Retain; test in robustness battery","Retain"))))</f>
        <v/>
      </c>
    </row>
    <row r="479">
      <c r="A479" s="55" t="n">
        <v>476</v>
      </c>
      <c r="B479" s="55">
        <f>IF('04_DATA'!A476="","",'04_DATA'!A476)</f>
        <v/>
      </c>
      <c r="C479" s="55">
        <f>IF('04_DATA'!A476="","",IF(AND('04_DATA'!G476=1,'04_DATA'!H476=1,'04_DATA'!I476&gt;=3),"eligible","EXCLUDE"))</f>
        <v/>
      </c>
      <c r="D479" s="55">
        <f>IF('04_DATA'!A476="","",37-COUNT('04_DATA'!$K476:$AU476))</f>
        <v/>
      </c>
      <c r="E479" s="63">
        <f>IF('04_DATA'!A476="","",(37-COUNT('04_DATA'!$K476:$AU476))/37)</f>
        <v/>
      </c>
      <c r="F479" s="55">
        <f>IF('04_DATA'!A476="","",IF(AND(COUNT('04_DATA'!$K476:$AU476)=37,COUNTIF('04_DATA'!$K476:$AU476,INDEX('04_DATA'!$K476:$AU476,1))=37),"EXCLUDE","ok"))</f>
        <v/>
      </c>
      <c r="G479" s="55">
        <f>IF('04_DATA'!A476="","",IF('04_DATA'!D476&lt;PERCENTILE('04_DATA'!$D$2:$D$1001,0.05),"FLAG","ok"))</f>
        <v/>
      </c>
      <c r="H479" s="55">
        <f>IF('04_DATA'!A476="","",IF(OR(C479="EXCLUDE",F479="EXCLUDE"),"Exclude under pre-specified rule",IF(E479&gt;0.15,"Exclude: &gt;15% missing",IF(G479="FLAG","Retain; test in robustness battery","Retain"))))</f>
        <v/>
      </c>
    </row>
    <row r="480">
      <c r="A480" s="55" t="n">
        <v>477</v>
      </c>
      <c r="B480" s="55">
        <f>IF('04_DATA'!A477="","",'04_DATA'!A477)</f>
        <v/>
      </c>
      <c r="C480" s="55">
        <f>IF('04_DATA'!A477="","",IF(AND('04_DATA'!G477=1,'04_DATA'!H477=1,'04_DATA'!I477&gt;=3),"eligible","EXCLUDE"))</f>
        <v/>
      </c>
      <c r="D480" s="55">
        <f>IF('04_DATA'!A477="","",37-COUNT('04_DATA'!$K477:$AU477))</f>
        <v/>
      </c>
      <c r="E480" s="63">
        <f>IF('04_DATA'!A477="","",(37-COUNT('04_DATA'!$K477:$AU477))/37)</f>
        <v/>
      </c>
      <c r="F480" s="55">
        <f>IF('04_DATA'!A477="","",IF(AND(COUNT('04_DATA'!$K477:$AU477)=37,COUNTIF('04_DATA'!$K477:$AU477,INDEX('04_DATA'!$K477:$AU477,1))=37),"EXCLUDE","ok"))</f>
        <v/>
      </c>
      <c r="G480" s="55">
        <f>IF('04_DATA'!A477="","",IF('04_DATA'!D477&lt;PERCENTILE('04_DATA'!$D$2:$D$1001,0.05),"FLAG","ok"))</f>
        <v/>
      </c>
      <c r="H480" s="55">
        <f>IF('04_DATA'!A477="","",IF(OR(C480="EXCLUDE",F480="EXCLUDE"),"Exclude under pre-specified rule",IF(E480&gt;0.15,"Exclude: &gt;15% missing",IF(G480="FLAG","Retain; test in robustness battery","Retain"))))</f>
        <v/>
      </c>
    </row>
    <row r="481">
      <c r="A481" s="55" t="n">
        <v>478</v>
      </c>
      <c r="B481" s="55">
        <f>IF('04_DATA'!A478="","",'04_DATA'!A478)</f>
        <v/>
      </c>
      <c r="C481" s="55">
        <f>IF('04_DATA'!A478="","",IF(AND('04_DATA'!G478=1,'04_DATA'!H478=1,'04_DATA'!I478&gt;=3),"eligible","EXCLUDE"))</f>
        <v/>
      </c>
      <c r="D481" s="55">
        <f>IF('04_DATA'!A478="","",37-COUNT('04_DATA'!$K478:$AU478))</f>
        <v/>
      </c>
      <c r="E481" s="63">
        <f>IF('04_DATA'!A478="","",(37-COUNT('04_DATA'!$K478:$AU478))/37)</f>
        <v/>
      </c>
      <c r="F481" s="55">
        <f>IF('04_DATA'!A478="","",IF(AND(COUNT('04_DATA'!$K478:$AU478)=37,COUNTIF('04_DATA'!$K478:$AU478,INDEX('04_DATA'!$K478:$AU478,1))=37),"EXCLUDE","ok"))</f>
        <v/>
      </c>
      <c r="G481" s="55">
        <f>IF('04_DATA'!A478="","",IF('04_DATA'!D478&lt;PERCENTILE('04_DATA'!$D$2:$D$1001,0.05),"FLAG","ok"))</f>
        <v/>
      </c>
      <c r="H481" s="55">
        <f>IF('04_DATA'!A478="","",IF(OR(C481="EXCLUDE",F481="EXCLUDE"),"Exclude under pre-specified rule",IF(E481&gt;0.15,"Exclude: &gt;15% missing",IF(G481="FLAG","Retain; test in robustness battery","Retain"))))</f>
        <v/>
      </c>
    </row>
    <row r="482">
      <c r="A482" s="55" t="n">
        <v>479</v>
      </c>
      <c r="B482" s="55">
        <f>IF('04_DATA'!A479="","",'04_DATA'!A479)</f>
        <v/>
      </c>
      <c r="C482" s="55">
        <f>IF('04_DATA'!A479="","",IF(AND('04_DATA'!G479=1,'04_DATA'!H479=1,'04_DATA'!I479&gt;=3),"eligible","EXCLUDE"))</f>
        <v/>
      </c>
      <c r="D482" s="55">
        <f>IF('04_DATA'!A479="","",37-COUNT('04_DATA'!$K479:$AU479))</f>
        <v/>
      </c>
      <c r="E482" s="63">
        <f>IF('04_DATA'!A479="","",(37-COUNT('04_DATA'!$K479:$AU479))/37)</f>
        <v/>
      </c>
      <c r="F482" s="55">
        <f>IF('04_DATA'!A479="","",IF(AND(COUNT('04_DATA'!$K479:$AU479)=37,COUNTIF('04_DATA'!$K479:$AU479,INDEX('04_DATA'!$K479:$AU479,1))=37),"EXCLUDE","ok"))</f>
        <v/>
      </c>
      <c r="G482" s="55">
        <f>IF('04_DATA'!A479="","",IF('04_DATA'!D479&lt;PERCENTILE('04_DATA'!$D$2:$D$1001,0.05),"FLAG","ok"))</f>
        <v/>
      </c>
      <c r="H482" s="55">
        <f>IF('04_DATA'!A479="","",IF(OR(C482="EXCLUDE",F482="EXCLUDE"),"Exclude under pre-specified rule",IF(E482&gt;0.15,"Exclude: &gt;15% missing",IF(G482="FLAG","Retain; test in robustness battery","Retain"))))</f>
        <v/>
      </c>
    </row>
    <row r="483">
      <c r="A483" s="55" t="n">
        <v>480</v>
      </c>
      <c r="B483" s="55">
        <f>IF('04_DATA'!A480="","",'04_DATA'!A480)</f>
        <v/>
      </c>
      <c r="C483" s="55">
        <f>IF('04_DATA'!A480="","",IF(AND('04_DATA'!G480=1,'04_DATA'!H480=1,'04_DATA'!I480&gt;=3),"eligible","EXCLUDE"))</f>
        <v/>
      </c>
      <c r="D483" s="55">
        <f>IF('04_DATA'!A480="","",37-COUNT('04_DATA'!$K480:$AU480))</f>
        <v/>
      </c>
      <c r="E483" s="63">
        <f>IF('04_DATA'!A480="","",(37-COUNT('04_DATA'!$K480:$AU480))/37)</f>
        <v/>
      </c>
      <c r="F483" s="55">
        <f>IF('04_DATA'!A480="","",IF(AND(COUNT('04_DATA'!$K480:$AU480)=37,COUNTIF('04_DATA'!$K480:$AU480,INDEX('04_DATA'!$K480:$AU480,1))=37),"EXCLUDE","ok"))</f>
        <v/>
      </c>
      <c r="G483" s="55">
        <f>IF('04_DATA'!A480="","",IF('04_DATA'!D480&lt;PERCENTILE('04_DATA'!$D$2:$D$1001,0.05),"FLAG","ok"))</f>
        <v/>
      </c>
      <c r="H483" s="55">
        <f>IF('04_DATA'!A480="","",IF(OR(C483="EXCLUDE",F483="EXCLUDE"),"Exclude under pre-specified rule",IF(E483&gt;0.15,"Exclude: &gt;15% missing",IF(G483="FLAG","Retain; test in robustness battery","Retain"))))</f>
        <v/>
      </c>
    </row>
    <row r="484">
      <c r="A484" s="55" t="n">
        <v>481</v>
      </c>
      <c r="B484" s="55">
        <f>IF('04_DATA'!A481="","",'04_DATA'!A481)</f>
        <v/>
      </c>
      <c r="C484" s="55">
        <f>IF('04_DATA'!A481="","",IF(AND('04_DATA'!G481=1,'04_DATA'!H481=1,'04_DATA'!I481&gt;=3),"eligible","EXCLUDE"))</f>
        <v/>
      </c>
      <c r="D484" s="55">
        <f>IF('04_DATA'!A481="","",37-COUNT('04_DATA'!$K481:$AU481))</f>
        <v/>
      </c>
      <c r="E484" s="63">
        <f>IF('04_DATA'!A481="","",(37-COUNT('04_DATA'!$K481:$AU481))/37)</f>
        <v/>
      </c>
      <c r="F484" s="55">
        <f>IF('04_DATA'!A481="","",IF(AND(COUNT('04_DATA'!$K481:$AU481)=37,COUNTIF('04_DATA'!$K481:$AU481,INDEX('04_DATA'!$K481:$AU481,1))=37),"EXCLUDE","ok"))</f>
        <v/>
      </c>
      <c r="G484" s="55">
        <f>IF('04_DATA'!A481="","",IF('04_DATA'!D481&lt;PERCENTILE('04_DATA'!$D$2:$D$1001,0.05),"FLAG","ok"))</f>
        <v/>
      </c>
      <c r="H484" s="55">
        <f>IF('04_DATA'!A481="","",IF(OR(C484="EXCLUDE",F484="EXCLUDE"),"Exclude under pre-specified rule",IF(E484&gt;0.15,"Exclude: &gt;15% missing",IF(G484="FLAG","Retain; test in robustness battery","Retain"))))</f>
        <v/>
      </c>
    </row>
    <row r="485">
      <c r="A485" s="55" t="n">
        <v>482</v>
      </c>
      <c r="B485" s="55">
        <f>IF('04_DATA'!A482="","",'04_DATA'!A482)</f>
        <v/>
      </c>
      <c r="C485" s="55">
        <f>IF('04_DATA'!A482="","",IF(AND('04_DATA'!G482=1,'04_DATA'!H482=1,'04_DATA'!I482&gt;=3),"eligible","EXCLUDE"))</f>
        <v/>
      </c>
      <c r="D485" s="55">
        <f>IF('04_DATA'!A482="","",37-COUNT('04_DATA'!$K482:$AU482))</f>
        <v/>
      </c>
      <c r="E485" s="63">
        <f>IF('04_DATA'!A482="","",(37-COUNT('04_DATA'!$K482:$AU482))/37)</f>
        <v/>
      </c>
      <c r="F485" s="55">
        <f>IF('04_DATA'!A482="","",IF(AND(COUNT('04_DATA'!$K482:$AU482)=37,COUNTIF('04_DATA'!$K482:$AU482,INDEX('04_DATA'!$K482:$AU482,1))=37),"EXCLUDE","ok"))</f>
        <v/>
      </c>
      <c r="G485" s="55">
        <f>IF('04_DATA'!A482="","",IF('04_DATA'!D482&lt;PERCENTILE('04_DATA'!$D$2:$D$1001,0.05),"FLAG","ok"))</f>
        <v/>
      </c>
      <c r="H485" s="55">
        <f>IF('04_DATA'!A482="","",IF(OR(C485="EXCLUDE",F485="EXCLUDE"),"Exclude under pre-specified rule",IF(E485&gt;0.15,"Exclude: &gt;15% missing",IF(G485="FLAG","Retain; test in robustness battery","Retain"))))</f>
        <v/>
      </c>
    </row>
    <row r="486">
      <c r="A486" s="55" t="n">
        <v>483</v>
      </c>
      <c r="B486" s="55">
        <f>IF('04_DATA'!A483="","",'04_DATA'!A483)</f>
        <v/>
      </c>
      <c r="C486" s="55">
        <f>IF('04_DATA'!A483="","",IF(AND('04_DATA'!G483=1,'04_DATA'!H483=1,'04_DATA'!I483&gt;=3),"eligible","EXCLUDE"))</f>
        <v/>
      </c>
      <c r="D486" s="55">
        <f>IF('04_DATA'!A483="","",37-COUNT('04_DATA'!$K483:$AU483))</f>
        <v/>
      </c>
      <c r="E486" s="63">
        <f>IF('04_DATA'!A483="","",(37-COUNT('04_DATA'!$K483:$AU483))/37)</f>
        <v/>
      </c>
      <c r="F486" s="55">
        <f>IF('04_DATA'!A483="","",IF(AND(COUNT('04_DATA'!$K483:$AU483)=37,COUNTIF('04_DATA'!$K483:$AU483,INDEX('04_DATA'!$K483:$AU483,1))=37),"EXCLUDE","ok"))</f>
        <v/>
      </c>
      <c r="G486" s="55">
        <f>IF('04_DATA'!A483="","",IF('04_DATA'!D483&lt;PERCENTILE('04_DATA'!$D$2:$D$1001,0.05),"FLAG","ok"))</f>
        <v/>
      </c>
      <c r="H486" s="55">
        <f>IF('04_DATA'!A483="","",IF(OR(C486="EXCLUDE",F486="EXCLUDE"),"Exclude under pre-specified rule",IF(E486&gt;0.15,"Exclude: &gt;15% missing",IF(G486="FLAG","Retain; test in robustness battery","Retain"))))</f>
        <v/>
      </c>
    </row>
    <row r="487">
      <c r="A487" s="55" t="n">
        <v>484</v>
      </c>
      <c r="B487" s="55">
        <f>IF('04_DATA'!A484="","",'04_DATA'!A484)</f>
        <v/>
      </c>
      <c r="C487" s="55">
        <f>IF('04_DATA'!A484="","",IF(AND('04_DATA'!G484=1,'04_DATA'!H484=1,'04_DATA'!I484&gt;=3),"eligible","EXCLUDE"))</f>
        <v/>
      </c>
      <c r="D487" s="55">
        <f>IF('04_DATA'!A484="","",37-COUNT('04_DATA'!$K484:$AU484))</f>
        <v/>
      </c>
      <c r="E487" s="63">
        <f>IF('04_DATA'!A484="","",(37-COUNT('04_DATA'!$K484:$AU484))/37)</f>
        <v/>
      </c>
      <c r="F487" s="55">
        <f>IF('04_DATA'!A484="","",IF(AND(COUNT('04_DATA'!$K484:$AU484)=37,COUNTIF('04_DATA'!$K484:$AU484,INDEX('04_DATA'!$K484:$AU484,1))=37),"EXCLUDE","ok"))</f>
        <v/>
      </c>
      <c r="G487" s="55">
        <f>IF('04_DATA'!A484="","",IF('04_DATA'!D484&lt;PERCENTILE('04_DATA'!$D$2:$D$1001,0.05),"FLAG","ok"))</f>
        <v/>
      </c>
      <c r="H487" s="55">
        <f>IF('04_DATA'!A484="","",IF(OR(C487="EXCLUDE",F487="EXCLUDE"),"Exclude under pre-specified rule",IF(E487&gt;0.15,"Exclude: &gt;15% missing",IF(G487="FLAG","Retain; test in robustness battery","Retain"))))</f>
        <v/>
      </c>
    </row>
    <row r="488">
      <c r="A488" s="55" t="n">
        <v>485</v>
      </c>
      <c r="B488" s="55">
        <f>IF('04_DATA'!A485="","",'04_DATA'!A485)</f>
        <v/>
      </c>
      <c r="C488" s="55">
        <f>IF('04_DATA'!A485="","",IF(AND('04_DATA'!G485=1,'04_DATA'!H485=1,'04_DATA'!I485&gt;=3),"eligible","EXCLUDE"))</f>
        <v/>
      </c>
      <c r="D488" s="55">
        <f>IF('04_DATA'!A485="","",37-COUNT('04_DATA'!$K485:$AU485))</f>
        <v/>
      </c>
      <c r="E488" s="63">
        <f>IF('04_DATA'!A485="","",(37-COUNT('04_DATA'!$K485:$AU485))/37)</f>
        <v/>
      </c>
      <c r="F488" s="55">
        <f>IF('04_DATA'!A485="","",IF(AND(COUNT('04_DATA'!$K485:$AU485)=37,COUNTIF('04_DATA'!$K485:$AU485,INDEX('04_DATA'!$K485:$AU485,1))=37),"EXCLUDE","ok"))</f>
        <v/>
      </c>
      <c r="G488" s="55">
        <f>IF('04_DATA'!A485="","",IF('04_DATA'!D485&lt;PERCENTILE('04_DATA'!$D$2:$D$1001,0.05),"FLAG","ok"))</f>
        <v/>
      </c>
      <c r="H488" s="55">
        <f>IF('04_DATA'!A485="","",IF(OR(C488="EXCLUDE",F488="EXCLUDE"),"Exclude under pre-specified rule",IF(E488&gt;0.15,"Exclude: &gt;15% missing",IF(G488="FLAG","Retain; test in robustness battery","Retain"))))</f>
        <v/>
      </c>
    </row>
    <row r="489">
      <c r="A489" s="55" t="n">
        <v>486</v>
      </c>
      <c r="B489" s="55">
        <f>IF('04_DATA'!A486="","",'04_DATA'!A486)</f>
        <v/>
      </c>
      <c r="C489" s="55">
        <f>IF('04_DATA'!A486="","",IF(AND('04_DATA'!G486=1,'04_DATA'!H486=1,'04_DATA'!I486&gt;=3),"eligible","EXCLUDE"))</f>
        <v/>
      </c>
      <c r="D489" s="55">
        <f>IF('04_DATA'!A486="","",37-COUNT('04_DATA'!$K486:$AU486))</f>
        <v/>
      </c>
      <c r="E489" s="63">
        <f>IF('04_DATA'!A486="","",(37-COUNT('04_DATA'!$K486:$AU486))/37)</f>
        <v/>
      </c>
      <c r="F489" s="55">
        <f>IF('04_DATA'!A486="","",IF(AND(COUNT('04_DATA'!$K486:$AU486)=37,COUNTIF('04_DATA'!$K486:$AU486,INDEX('04_DATA'!$K486:$AU486,1))=37),"EXCLUDE","ok"))</f>
        <v/>
      </c>
      <c r="G489" s="55">
        <f>IF('04_DATA'!A486="","",IF('04_DATA'!D486&lt;PERCENTILE('04_DATA'!$D$2:$D$1001,0.05),"FLAG","ok"))</f>
        <v/>
      </c>
      <c r="H489" s="55">
        <f>IF('04_DATA'!A486="","",IF(OR(C489="EXCLUDE",F489="EXCLUDE"),"Exclude under pre-specified rule",IF(E489&gt;0.15,"Exclude: &gt;15% missing",IF(G489="FLAG","Retain; test in robustness battery","Retain"))))</f>
        <v/>
      </c>
    </row>
    <row r="490">
      <c r="A490" s="55" t="n">
        <v>487</v>
      </c>
      <c r="B490" s="55">
        <f>IF('04_DATA'!A487="","",'04_DATA'!A487)</f>
        <v/>
      </c>
      <c r="C490" s="55">
        <f>IF('04_DATA'!A487="","",IF(AND('04_DATA'!G487=1,'04_DATA'!H487=1,'04_DATA'!I487&gt;=3),"eligible","EXCLUDE"))</f>
        <v/>
      </c>
      <c r="D490" s="55">
        <f>IF('04_DATA'!A487="","",37-COUNT('04_DATA'!$K487:$AU487))</f>
        <v/>
      </c>
      <c r="E490" s="63">
        <f>IF('04_DATA'!A487="","",(37-COUNT('04_DATA'!$K487:$AU487))/37)</f>
        <v/>
      </c>
      <c r="F490" s="55">
        <f>IF('04_DATA'!A487="","",IF(AND(COUNT('04_DATA'!$K487:$AU487)=37,COUNTIF('04_DATA'!$K487:$AU487,INDEX('04_DATA'!$K487:$AU487,1))=37),"EXCLUDE","ok"))</f>
        <v/>
      </c>
      <c r="G490" s="55">
        <f>IF('04_DATA'!A487="","",IF('04_DATA'!D487&lt;PERCENTILE('04_DATA'!$D$2:$D$1001,0.05),"FLAG","ok"))</f>
        <v/>
      </c>
      <c r="H490" s="55">
        <f>IF('04_DATA'!A487="","",IF(OR(C490="EXCLUDE",F490="EXCLUDE"),"Exclude under pre-specified rule",IF(E490&gt;0.15,"Exclude: &gt;15% missing",IF(G490="FLAG","Retain; test in robustness battery","Retain"))))</f>
        <v/>
      </c>
    </row>
    <row r="491">
      <c r="A491" s="55" t="n">
        <v>488</v>
      </c>
      <c r="B491" s="55">
        <f>IF('04_DATA'!A488="","",'04_DATA'!A488)</f>
        <v/>
      </c>
      <c r="C491" s="55">
        <f>IF('04_DATA'!A488="","",IF(AND('04_DATA'!G488=1,'04_DATA'!H488=1,'04_DATA'!I488&gt;=3),"eligible","EXCLUDE"))</f>
        <v/>
      </c>
      <c r="D491" s="55">
        <f>IF('04_DATA'!A488="","",37-COUNT('04_DATA'!$K488:$AU488))</f>
        <v/>
      </c>
      <c r="E491" s="63">
        <f>IF('04_DATA'!A488="","",(37-COUNT('04_DATA'!$K488:$AU488))/37)</f>
        <v/>
      </c>
      <c r="F491" s="55">
        <f>IF('04_DATA'!A488="","",IF(AND(COUNT('04_DATA'!$K488:$AU488)=37,COUNTIF('04_DATA'!$K488:$AU488,INDEX('04_DATA'!$K488:$AU488,1))=37),"EXCLUDE","ok"))</f>
        <v/>
      </c>
      <c r="G491" s="55">
        <f>IF('04_DATA'!A488="","",IF('04_DATA'!D488&lt;PERCENTILE('04_DATA'!$D$2:$D$1001,0.05),"FLAG","ok"))</f>
        <v/>
      </c>
      <c r="H491" s="55">
        <f>IF('04_DATA'!A488="","",IF(OR(C491="EXCLUDE",F491="EXCLUDE"),"Exclude under pre-specified rule",IF(E491&gt;0.15,"Exclude: &gt;15% missing",IF(G491="FLAG","Retain; test in robustness battery","Retain"))))</f>
        <v/>
      </c>
    </row>
    <row r="492">
      <c r="A492" s="55" t="n">
        <v>489</v>
      </c>
      <c r="B492" s="55">
        <f>IF('04_DATA'!A489="","",'04_DATA'!A489)</f>
        <v/>
      </c>
      <c r="C492" s="55">
        <f>IF('04_DATA'!A489="","",IF(AND('04_DATA'!G489=1,'04_DATA'!H489=1,'04_DATA'!I489&gt;=3),"eligible","EXCLUDE"))</f>
        <v/>
      </c>
      <c r="D492" s="55">
        <f>IF('04_DATA'!A489="","",37-COUNT('04_DATA'!$K489:$AU489))</f>
        <v/>
      </c>
      <c r="E492" s="63">
        <f>IF('04_DATA'!A489="","",(37-COUNT('04_DATA'!$K489:$AU489))/37)</f>
        <v/>
      </c>
      <c r="F492" s="55">
        <f>IF('04_DATA'!A489="","",IF(AND(COUNT('04_DATA'!$K489:$AU489)=37,COUNTIF('04_DATA'!$K489:$AU489,INDEX('04_DATA'!$K489:$AU489,1))=37),"EXCLUDE","ok"))</f>
        <v/>
      </c>
      <c r="G492" s="55">
        <f>IF('04_DATA'!A489="","",IF('04_DATA'!D489&lt;PERCENTILE('04_DATA'!$D$2:$D$1001,0.05),"FLAG","ok"))</f>
        <v/>
      </c>
      <c r="H492" s="55">
        <f>IF('04_DATA'!A489="","",IF(OR(C492="EXCLUDE",F492="EXCLUDE"),"Exclude under pre-specified rule",IF(E492&gt;0.15,"Exclude: &gt;15% missing",IF(G492="FLAG","Retain; test in robustness battery","Retain"))))</f>
        <v/>
      </c>
    </row>
    <row r="493">
      <c r="A493" s="55" t="n">
        <v>490</v>
      </c>
      <c r="B493" s="55">
        <f>IF('04_DATA'!A490="","",'04_DATA'!A490)</f>
        <v/>
      </c>
      <c r="C493" s="55">
        <f>IF('04_DATA'!A490="","",IF(AND('04_DATA'!G490=1,'04_DATA'!H490=1,'04_DATA'!I490&gt;=3),"eligible","EXCLUDE"))</f>
        <v/>
      </c>
      <c r="D493" s="55">
        <f>IF('04_DATA'!A490="","",37-COUNT('04_DATA'!$K490:$AU490))</f>
        <v/>
      </c>
      <c r="E493" s="63">
        <f>IF('04_DATA'!A490="","",(37-COUNT('04_DATA'!$K490:$AU490))/37)</f>
        <v/>
      </c>
      <c r="F493" s="55">
        <f>IF('04_DATA'!A490="","",IF(AND(COUNT('04_DATA'!$K490:$AU490)=37,COUNTIF('04_DATA'!$K490:$AU490,INDEX('04_DATA'!$K490:$AU490,1))=37),"EXCLUDE","ok"))</f>
        <v/>
      </c>
      <c r="G493" s="55">
        <f>IF('04_DATA'!A490="","",IF('04_DATA'!D490&lt;PERCENTILE('04_DATA'!$D$2:$D$1001,0.05),"FLAG","ok"))</f>
        <v/>
      </c>
      <c r="H493" s="55">
        <f>IF('04_DATA'!A490="","",IF(OR(C493="EXCLUDE",F493="EXCLUDE"),"Exclude under pre-specified rule",IF(E493&gt;0.15,"Exclude: &gt;15% missing",IF(G493="FLAG","Retain; test in robustness battery","Retain"))))</f>
        <v/>
      </c>
    </row>
    <row r="494">
      <c r="A494" s="55" t="n">
        <v>491</v>
      </c>
      <c r="B494" s="55">
        <f>IF('04_DATA'!A491="","",'04_DATA'!A491)</f>
        <v/>
      </c>
      <c r="C494" s="55">
        <f>IF('04_DATA'!A491="","",IF(AND('04_DATA'!G491=1,'04_DATA'!H491=1,'04_DATA'!I491&gt;=3),"eligible","EXCLUDE"))</f>
        <v/>
      </c>
      <c r="D494" s="55">
        <f>IF('04_DATA'!A491="","",37-COUNT('04_DATA'!$K491:$AU491))</f>
        <v/>
      </c>
      <c r="E494" s="63">
        <f>IF('04_DATA'!A491="","",(37-COUNT('04_DATA'!$K491:$AU491))/37)</f>
        <v/>
      </c>
      <c r="F494" s="55">
        <f>IF('04_DATA'!A491="","",IF(AND(COUNT('04_DATA'!$K491:$AU491)=37,COUNTIF('04_DATA'!$K491:$AU491,INDEX('04_DATA'!$K491:$AU491,1))=37),"EXCLUDE","ok"))</f>
        <v/>
      </c>
      <c r="G494" s="55">
        <f>IF('04_DATA'!A491="","",IF('04_DATA'!D491&lt;PERCENTILE('04_DATA'!$D$2:$D$1001,0.05),"FLAG","ok"))</f>
        <v/>
      </c>
      <c r="H494" s="55">
        <f>IF('04_DATA'!A491="","",IF(OR(C494="EXCLUDE",F494="EXCLUDE"),"Exclude under pre-specified rule",IF(E494&gt;0.15,"Exclude: &gt;15% missing",IF(G494="FLAG","Retain; test in robustness battery","Retain"))))</f>
        <v/>
      </c>
    </row>
    <row r="495">
      <c r="A495" s="55" t="n">
        <v>492</v>
      </c>
      <c r="B495" s="55">
        <f>IF('04_DATA'!A492="","",'04_DATA'!A492)</f>
        <v/>
      </c>
      <c r="C495" s="55">
        <f>IF('04_DATA'!A492="","",IF(AND('04_DATA'!G492=1,'04_DATA'!H492=1,'04_DATA'!I492&gt;=3),"eligible","EXCLUDE"))</f>
        <v/>
      </c>
      <c r="D495" s="55">
        <f>IF('04_DATA'!A492="","",37-COUNT('04_DATA'!$K492:$AU492))</f>
        <v/>
      </c>
      <c r="E495" s="63">
        <f>IF('04_DATA'!A492="","",(37-COUNT('04_DATA'!$K492:$AU492))/37)</f>
        <v/>
      </c>
      <c r="F495" s="55">
        <f>IF('04_DATA'!A492="","",IF(AND(COUNT('04_DATA'!$K492:$AU492)=37,COUNTIF('04_DATA'!$K492:$AU492,INDEX('04_DATA'!$K492:$AU492,1))=37),"EXCLUDE","ok"))</f>
        <v/>
      </c>
      <c r="G495" s="55">
        <f>IF('04_DATA'!A492="","",IF('04_DATA'!D492&lt;PERCENTILE('04_DATA'!$D$2:$D$1001,0.05),"FLAG","ok"))</f>
        <v/>
      </c>
      <c r="H495" s="55">
        <f>IF('04_DATA'!A492="","",IF(OR(C495="EXCLUDE",F495="EXCLUDE"),"Exclude under pre-specified rule",IF(E495&gt;0.15,"Exclude: &gt;15% missing",IF(G495="FLAG","Retain; test in robustness battery","Retain"))))</f>
        <v/>
      </c>
    </row>
    <row r="496">
      <c r="A496" s="55" t="n">
        <v>493</v>
      </c>
      <c r="B496" s="55">
        <f>IF('04_DATA'!A493="","",'04_DATA'!A493)</f>
        <v/>
      </c>
      <c r="C496" s="55">
        <f>IF('04_DATA'!A493="","",IF(AND('04_DATA'!G493=1,'04_DATA'!H493=1,'04_DATA'!I493&gt;=3),"eligible","EXCLUDE"))</f>
        <v/>
      </c>
      <c r="D496" s="55">
        <f>IF('04_DATA'!A493="","",37-COUNT('04_DATA'!$K493:$AU493))</f>
        <v/>
      </c>
      <c r="E496" s="63">
        <f>IF('04_DATA'!A493="","",(37-COUNT('04_DATA'!$K493:$AU493))/37)</f>
        <v/>
      </c>
      <c r="F496" s="55">
        <f>IF('04_DATA'!A493="","",IF(AND(COUNT('04_DATA'!$K493:$AU493)=37,COUNTIF('04_DATA'!$K493:$AU493,INDEX('04_DATA'!$K493:$AU493,1))=37),"EXCLUDE","ok"))</f>
        <v/>
      </c>
      <c r="G496" s="55">
        <f>IF('04_DATA'!A493="","",IF('04_DATA'!D493&lt;PERCENTILE('04_DATA'!$D$2:$D$1001,0.05),"FLAG","ok"))</f>
        <v/>
      </c>
      <c r="H496" s="55">
        <f>IF('04_DATA'!A493="","",IF(OR(C496="EXCLUDE",F496="EXCLUDE"),"Exclude under pre-specified rule",IF(E496&gt;0.15,"Exclude: &gt;15% missing",IF(G496="FLAG","Retain; test in robustness battery","Retain"))))</f>
        <v/>
      </c>
    </row>
    <row r="497">
      <c r="A497" s="55" t="n">
        <v>494</v>
      </c>
      <c r="B497" s="55">
        <f>IF('04_DATA'!A494="","",'04_DATA'!A494)</f>
        <v/>
      </c>
      <c r="C497" s="55">
        <f>IF('04_DATA'!A494="","",IF(AND('04_DATA'!G494=1,'04_DATA'!H494=1,'04_DATA'!I494&gt;=3),"eligible","EXCLUDE"))</f>
        <v/>
      </c>
      <c r="D497" s="55">
        <f>IF('04_DATA'!A494="","",37-COUNT('04_DATA'!$K494:$AU494))</f>
        <v/>
      </c>
      <c r="E497" s="63">
        <f>IF('04_DATA'!A494="","",(37-COUNT('04_DATA'!$K494:$AU494))/37)</f>
        <v/>
      </c>
      <c r="F497" s="55">
        <f>IF('04_DATA'!A494="","",IF(AND(COUNT('04_DATA'!$K494:$AU494)=37,COUNTIF('04_DATA'!$K494:$AU494,INDEX('04_DATA'!$K494:$AU494,1))=37),"EXCLUDE","ok"))</f>
        <v/>
      </c>
      <c r="G497" s="55">
        <f>IF('04_DATA'!A494="","",IF('04_DATA'!D494&lt;PERCENTILE('04_DATA'!$D$2:$D$1001,0.05),"FLAG","ok"))</f>
        <v/>
      </c>
      <c r="H497" s="55">
        <f>IF('04_DATA'!A494="","",IF(OR(C497="EXCLUDE",F497="EXCLUDE"),"Exclude under pre-specified rule",IF(E497&gt;0.15,"Exclude: &gt;15% missing",IF(G497="FLAG","Retain; test in robustness battery","Retain"))))</f>
        <v/>
      </c>
    </row>
    <row r="498">
      <c r="A498" s="55" t="n">
        <v>495</v>
      </c>
      <c r="B498" s="55">
        <f>IF('04_DATA'!A495="","",'04_DATA'!A495)</f>
        <v/>
      </c>
      <c r="C498" s="55">
        <f>IF('04_DATA'!A495="","",IF(AND('04_DATA'!G495=1,'04_DATA'!H495=1,'04_DATA'!I495&gt;=3),"eligible","EXCLUDE"))</f>
        <v/>
      </c>
      <c r="D498" s="55">
        <f>IF('04_DATA'!A495="","",37-COUNT('04_DATA'!$K495:$AU495))</f>
        <v/>
      </c>
      <c r="E498" s="63">
        <f>IF('04_DATA'!A495="","",(37-COUNT('04_DATA'!$K495:$AU495))/37)</f>
        <v/>
      </c>
      <c r="F498" s="55">
        <f>IF('04_DATA'!A495="","",IF(AND(COUNT('04_DATA'!$K495:$AU495)=37,COUNTIF('04_DATA'!$K495:$AU495,INDEX('04_DATA'!$K495:$AU495,1))=37),"EXCLUDE","ok"))</f>
        <v/>
      </c>
      <c r="G498" s="55">
        <f>IF('04_DATA'!A495="","",IF('04_DATA'!D495&lt;PERCENTILE('04_DATA'!$D$2:$D$1001,0.05),"FLAG","ok"))</f>
        <v/>
      </c>
      <c r="H498" s="55">
        <f>IF('04_DATA'!A495="","",IF(OR(C498="EXCLUDE",F498="EXCLUDE"),"Exclude under pre-specified rule",IF(E498&gt;0.15,"Exclude: &gt;15% missing",IF(G498="FLAG","Retain; test in robustness battery","Retain"))))</f>
        <v/>
      </c>
    </row>
    <row r="499">
      <c r="A499" s="55" t="n">
        <v>496</v>
      </c>
      <c r="B499" s="55">
        <f>IF('04_DATA'!A496="","",'04_DATA'!A496)</f>
        <v/>
      </c>
      <c r="C499" s="55">
        <f>IF('04_DATA'!A496="","",IF(AND('04_DATA'!G496=1,'04_DATA'!H496=1,'04_DATA'!I496&gt;=3),"eligible","EXCLUDE"))</f>
        <v/>
      </c>
      <c r="D499" s="55">
        <f>IF('04_DATA'!A496="","",37-COUNT('04_DATA'!$K496:$AU496))</f>
        <v/>
      </c>
      <c r="E499" s="63">
        <f>IF('04_DATA'!A496="","",(37-COUNT('04_DATA'!$K496:$AU496))/37)</f>
        <v/>
      </c>
      <c r="F499" s="55">
        <f>IF('04_DATA'!A496="","",IF(AND(COUNT('04_DATA'!$K496:$AU496)=37,COUNTIF('04_DATA'!$K496:$AU496,INDEX('04_DATA'!$K496:$AU496,1))=37),"EXCLUDE","ok"))</f>
        <v/>
      </c>
      <c r="G499" s="55">
        <f>IF('04_DATA'!A496="","",IF('04_DATA'!D496&lt;PERCENTILE('04_DATA'!$D$2:$D$1001,0.05),"FLAG","ok"))</f>
        <v/>
      </c>
      <c r="H499" s="55">
        <f>IF('04_DATA'!A496="","",IF(OR(C499="EXCLUDE",F499="EXCLUDE"),"Exclude under pre-specified rule",IF(E499&gt;0.15,"Exclude: &gt;15% missing",IF(G499="FLAG","Retain; test in robustness battery","Retain"))))</f>
        <v/>
      </c>
    </row>
    <row r="500">
      <c r="A500" s="55" t="n">
        <v>497</v>
      </c>
      <c r="B500" s="55">
        <f>IF('04_DATA'!A497="","",'04_DATA'!A497)</f>
        <v/>
      </c>
      <c r="C500" s="55">
        <f>IF('04_DATA'!A497="","",IF(AND('04_DATA'!G497=1,'04_DATA'!H497=1,'04_DATA'!I497&gt;=3),"eligible","EXCLUDE"))</f>
        <v/>
      </c>
      <c r="D500" s="55">
        <f>IF('04_DATA'!A497="","",37-COUNT('04_DATA'!$K497:$AU497))</f>
        <v/>
      </c>
      <c r="E500" s="63">
        <f>IF('04_DATA'!A497="","",(37-COUNT('04_DATA'!$K497:$AU497))/37)</f>
        <v/>
      </c>
      <c r="F500" s="55">
        <f>IF('04_DATA'!A497="","",IF(AND(COUNT('04_DATA'!$K497:$AU497)=37,COUNTIF('04_DATA'!$K497:$AU497,INDEX('04_DATA'!$K497:$AU497,1))=37),"EXCLUDE","ok"))</f>
        <v/>
      </c>
      <c r="G500" s="55">
        <f>IF('04_DATA'!A497="","",IF('04_DATA'!D497&lt;PERCENTILE('04_DATA'!$D$2:$D$1001,0.05),"FLAG","ok"))</f>
        <v/>
      </c>
      <c r="H500" s="55">
        <f>IF('04_DATA'!A497="","",IF(OR(C500="EXCLUDE",F500="EXCLUDE"),"Exclude under pre-specified rule",IF(E500&gt;0.15,"Exclude: &gt;15% missing",IF(G500="FLAG","Retain; test in robustness battery","Retain"))))</f>
        <v/>
      </c>
    </row>
    <row r="501">
      <c r="A501" s="55" t="n">
        <v>498</v>
      </c>
      <c r="B501" s="55">
        <f>IF('04_DATA'!A498="","",'04_DATA'!A498)</f>
        <v/>
      </c>
      <c r="C501" s="55">
        <f>IF('04_DATA'!A498="","",IF(AND('04_DATA'!G498=1,'04_DATA'!H498=1,'04_DATA'!I498&gt;=3),"eligible","EXCLUDE"))</f>
        <v/>
      </c>
      <c r="D501" s="55">
        <f>IF('04_DATA'!A498="","",37-COUNT('04_DATA'!$K498:$AU498))</f>
        <v/>
      </c>
      <c r="E501" s="63">
        <f>IF('04_DATA'!A498="","",(37-COUNT('04_DATA'!$K498:$AU498))/37)</f>
        <v/>
      </c>
      <c r="F501" s="55">
        <f>IF('04_DATA'!A498="","",IF(AND(COUNT('04_DATA'!$K498:$AU498)=37,COUNTIF('04_DATA'!$K498:$AU498,INDEX('04_DATA'!$K498:$AU498,1))=37),"EXCLUDE","ok"))</f>
        <v/>
      </c>
      <c r="G501" s="55">
        <f>IF('04_DATA'!A498="","",IF('04_DATA'!D498&lt;PERCENTILE('04_DATA'!$D$2:$D$1001,0.05),"FLAG","ok"))</f>
        <v/>
      </c>
      <c r="H501" s="55">
        <f>IF('04_DATA'!A498="","",IF(OR(C501="EXCLUDE",F501="EXCLUDE"),"Exclude under pre-specified rule",IF(E501&gt;0.15,"Exclude: &gt;15% missing",IF(G501="FLAG","Retain; test in robustness battery","Retain"))))</f>
        <v/>
      </c>
    </row>
    <row r="502">
      <c r="A502" s="55" t="n">
        <v>499</v>
      </c>
      <c r="B502" s="55">
        <f>IF('04_DATA'!A499="","",'04_DATA'!A499)</f>
        <v/>
      </c>
      <c r="C502" s="55">
        <f>IF('04_DATA'!A499="","",IF(AND('04_DATA'!G499=1,'04_DATA'!H499=1,'04_DATA'!I499&gt;=3),"eligible","EXCLUDE"))</f>
        <v/>
      </c>
      <c r="D502" s="55">
        <f>IF('04_DATA'!A499="","",37-COUNT('04_DATA'!$K499:$AU499))</f>
        <v/>
      </c>
      <c r="E502" s="63">
        <f>IF('04_DATA'!A499="","",(37-COUNT('04_DATA'!$K499:$AU499))/37)</f>
        <v/>
      </c>
      <c r="F502" s="55">
        <f>IF('04_DATA'!A499="","",IF(AND(COUNT('04_DATA'!$K499:$AU499)=37,COUNTIF('04_DATA'!$K499:$AU499,INDEX('04_DATA'!$K499:$AU499,1))=37),"EXCLUDE","ok"))</f>
        <v/>
      </c>
      <c r="G502" s="55">
        <f>IF('04_DATA'!A499="","",IF('04_DATA'!D499&lt;PERCENTILE('04_DATA'!$D$2:$D$1001,0.05),"FLAG","ok"))</f>
        <v/>
      </c>
      <c r="H502" s="55">
        <f>IF('04_DATA'!A499="","",IF(OR(C502="EXCLUDE",F502="EXCLUDE"),"Exclude under pre-specified rule",IF(E502&gt;0.15,"Exclude: &gt;15% missing",IF(G502="FLAG","Retain; test in robustness battery","Retain"))))</f>
        <v/>
      </c>
    </row>
    <row r="503">
      <c r="A503" s="55" t="n">
        <v>500</v>
      </c>
      <c r="B503" s="55">
        <f>IF('04_DATA'!A500="","",'04_DATA'!A500)</f>
        <v/>
      </c>
      <c r="C503" s="55">
        <f>IF('04_DATA'!A500="","",IF(AND('04_DATA'!G500=1,'04_DATA'!H500=1,'04_DATA'!I500&gt;=3),"eligible","EXCLUDE"))</f>
        <v/>
      </c>
      <c r="D503" s="55">
        <f>IF('04_DATA'!A500="","",37-COUNT('04_DATA'!$K500:$AU500))</f>
        <v/>
      </c>
      <c r="E503" s="63">
        <f>IF('04_DATA'!A500="","",(37-COUNT('04_DATA'!$K500:$AU500))/37)</f>
        <v/>
      </c>
      <c r="F503" s="55">
        <f>IF('04_DATA'!A500="","",IF(AND(COUNT('04_DATA'!$K500:$AU500)=37,COUNTIF('04_DATA'!$K500:$AU500,INDEX('04_DATA'!$K500:$AU500,1))=37),"EXCLUDE","ok"))</f>
        <v/>
      </c>
      <c r="G503" s="55">
        <f>IF('04_DATA'!A500="","",IF('04_DATA'!D500&lt;PERCENTILE('04_DATA'!$D$2:$D$1001,0.05),"FLAG","ok"))</f>
        <v/>
      </c>
      <c r="H503" s="55">
        <f>IF('04_DATA'!A500="","",IF(OR(C503="EXCLUDE",F503="EXCLUDE"),"Exclude under pre-specified rule",IF(E503&gt;0.15,"Exclude: &gt;15% missing",IF(G503="FLAG","Retain; test in robustness battery","Retain"))))</f>
        <v/>
      </c>
    </row>
    <row r="504">
      <c r="A504" s="55" t="n">
        <v>501</v>
      </c>
      <c r="B504" s="55">
        <f>IF('04_DATA'!A501="","",'04_DATA'!A501)</f>
        <v/>
      </c>
      <c r="C504" s="55">
        <f>IF('04_DATA'!A501="","",IF(AND('04_DATA'!G501=1,'04_DATA'!H501=1,'04_DATA'!I501&gt;=3),"eligible","EXCLUDE"))</f>
        <v/>
      </c>
      <c r="D504" s="55">
        <f>IF('04_DATA'!A501="","",37-COUNT('04_DATA'!$K501:$AU501))</f>
        <v/>
      </c>
      <c r="E504" s="63">
        <f>IF('04_DATA'!A501="","",(37-COUNT('04_DATA'!$K501:$AU501))/37)</f>
        <v/>
      </c>
      <c r="F504" s="55">
        <f>IF('04_DATA'!A501="","",IF(AND(COUNT('04_DATA'!$K501:$AU501)=37,COUNTIF('04_DATA'!$K501:$AU501,INDEX('04_DATA'!$K501:$AU501,1))=37),"EXCLUDE","ok"))</f>
        <v/>
      </c>
      <c r="G504" s="55">
        <f>IF('04_DATA'!A501="","",IF('04_DATA'!D501&lt;PERCENTILE('04_DATA'!$D$2:$D$1001,0.05),"FLAG","ok"))</f>
        <v/>
      </c>
      <c r="H504" s="55">
        <f>IF('04_DATA'!A501="","",IF(OR(C504="EXCLUDE",F504="EXCLUDE"),"Exclude under pre-specified rule",IF(E504&gt;0.15,"Exclude: &gt;15% missing",IF(G504="FLAG","Retain; test in robustness battery","Retain"))))</f>
        <v/>
      </c>
    </row>
    <row r="505">
      <c r="A505" s="55" t="n">
        <v>502</v>
      </c>
      <c r="B505" s="55">
        <f>IF('04_DATA'!A502="","",'04_DATA'!A502)</f>
        <v/>
      </c>
      <c r="C505" s="55">
        <f>IF('04_DATA'!A502="","",IF(AND('04_DATA'!G502=1,'04_DATA'!H502=1,'04_DATA'!I502&gt;=3),"eligible","EXCLUDE"))</f>
        <v/>
      </c>
      <c r="D505" s="55">
        <f>IF('04_DATA'!A502="","",37-COUNT('04_DATA'!$K502:$AU502))</f>
        <v/>
      </c>
      <c r="E505" s="63">
        <f>IF('04_DATA'!A502="","",(37-COUNT('04_DATA'!$K502:$AU502))/37)</f>
        <v/>
      </c>
      <c r="F505" s="55">
        <f>IF('04_DATA'!A502="","",IF(AND(COUNT('04_DATA'!$K502:$AU502)=37,COUNTIF('04_DATA'!$K502:$AU502,INDEX('04_DATA'!$K502:$AU502,1))=37),"EXCLUDE","ok"))</f>
        <v/>
      </c>
      <c r="G505" s="55">
        <f>IF('04_DATA'!A502="","",IF('04_DATA'!D502&lt;PERCENTILE('04_DATA'!$D$2:$D$1001,0.05),"FLAG","ok"))</f>
        <v/>
      </c>
      <c r="H505" s="55">
        <f>IF('04_DATA'!A502="","",IF(OR(C505="EXCLUDE",F505="EXCLUDE"),"Exclude under pre-specified rule",IF(E505&gt;0.15,"Exclude: &gt;15% missing",IF(G505="FLAG","Retain; test in robustness battery","Retain"))))</f>
        <v/>
      </c>
    </row>
    <row r="506">
      <c r="A506" s="55" t="n">
        <v>503</v>
      </c>
      <c r="B506" s="55">
        <f>IF('04_DATA'!A503="","",'04_DATA'!A503)</f>
        <v/>
      </c>
      <c r="C506" s="55">
        <f>IF('04_DATA'!A503="","",IF(AND('04_DATA'!G503=1,'04_DATA'!H503=1,'04_DATA'!I503&gt;=3),"eligible","EXCLUDE"))</f>
        <v/>
      </c>
      <c r="D506" s="55">
        <f>IF('04_DATA'!A503="","",37-COUNT('04_DATA'!$K503:$AU503))</f>
        <v/>
      </c>
      <c r="E506" s="63">
        <f>IF('04_DATA'!A503="","",(37-COUNT('04_DATA'!$K503:$AU503))/37)</f>
        <v/>
      </c>
      <c r="F506" s="55">
        <f>IF('04_DATA'!A503="","",IF(AND(COUNT('04_DATA'!$K503:$AU503)=37,COUNTIF('04_DATA'!$K503:$AU503,INDEX('04_DATA'!$K503:$AU503,1))=37),"EXCLUDE","ok"))</f>
        <v/>
      </c>
      <c r="G506" s="55">
        <f>IF('04_DATA'!A503="","",IF('04_DATA'!D503&lt;PERCENTILE('04_DATA'!$D$2:$D$1001,0.05),"FLAG","ok"))</f>
        <v/>
      </c>
      <c r="H506" s="55">
        <f>IF('04_DATA'!A503="","",IF(OR(C506="EXCLUDE",F506="EXCLUDE"),"Exclude under pre-specified rule",IF(E506&gt;0.15,"Exclude: &gt;15% missing",IF(G506="FLAG","Retain; test in robustness battery","Retain"))))</f>
        <v/>
      </c>
    </row>
    <row r="507">
      <c r="A507" s="55" t="n">
        <v>504</v>
      </c>
      <c r="B507" s="55">
        <f>IF('04_DATA'!A504="","",'04_DATA'!A504)</f>
        <v/>
      </c>
      <c r="C507" s="55">
        <f>IF('04_DATA'!A504="","",IF(AND('04_DATA'!G504=1,'04_DATA'!H504=1,'04_DATA'!I504&gt;=3),"eligible","EXCLUDE"))</f>
        <v/>
      </c>
      <c r="D507" s="55">
        <f>IF('04_DATA'!A504="","",37-COUNT('04_DATA'!$K504:$AU504))</f>
        <v/>
      </c>
      <c r="E507" s="63">
        <f>IF('04_DATA'!A504="","",(37-COUNT('04_DATA'!$K504:$AU504))/37)</f>
        <v/>
      </c>
      <c r="F507" s="55">
        <f>IF('04_DATA'!A504="","",IF(AND(COUNT('04_DATA'!$K504:$AU504)=37,COUNTIF('04_DATA'!$K504:$AU504,INDEX('04_DATA'!$K504:$AU504,1))=37),"EXCLUDE","ok"))</f>
        <v/>
      </c>
      <c r="G507" s="55">
        <f>IF('04_DATA'!A504="","",IF('04_DATA'!D504&lt;PERCENTILE('04_DATA'!$D$2:$D$1001,0.05),"FLAG","ok"))</f>
        <v/>
      </c>
      <c r="H507" s="55">
        <f>IF('04_DATA'!A504="","",IF(OR(C507="EXCLUDE",F507="EXCLUDE"),"Exclude under pre-specified rule",IF(E507&gt;0.15,"Exclude: &gt;15% missing",IF(G507="FLAG","Retain; test in robustness battery","Retain"))))</f>
        <v/>
      </c>
    </row>
    <row r="508">
      <c r="A508" s="55" t="n">
        <v>505</v>
      </c>
      <c r="B508" s="55">
        <f>IF('04_DATA'!A505="","",'04_DATA'!A505)</f>
        <v/>
      </c>
      <c r="C508" s="55">
        <f>IF('04_DATA'!A505="","",IF(AND('04_DATA'!G505=1,'04_DATA'!H505=1,'04_DATA'!I505&gt;=3),"eligible","EXCLUDE"))</f>
        <v/>
      </c>
      <c r="D508" s="55">
        <f>IF('04_DATA'!A505="","",37-COUNT('04_DATA'!$K505:$AU505))</f>
        <v/>
      </c>
      <c r="E508" s="63">
        <f>IF('04_DATA'!A505="","",(37-COUNT('04_DATA'!$K505:$AU505))/37)</f>
        <v/>
      </c>
      <c r="F508" s="55">
        <f>IF('04_DATA'!A505="","",IF(AND(COUNT('04_DATA'!$K505:$AU505)=37,COUNTIF('04_DATA'!$K505:$AU505,INDEX('04_DATA'!$K505:$AU505,1))=37),"EXCLUDE","ok"))</f>
        <v/>
      </c>
      <c r="G508" s="55">
        <f>IF('04_DATA'!A505="","",IF('04_DATA'!D505&lt;PERCENTILE('04_DATA'!$D$2:$D$1001,0.05),"FLAG","ok"))</f>
        <v/>
      </c>
      <c r="H508" s="55">
        <f>IF('04_DATA'!A505="","",IF(OR(C508="EXCLUDE",F508="EXCLUDE"),"Exclude under pre-specified rule",IF(E508&gt;0.15,"Exclude: &gt;15% missing",IF(G508="FLAG","Retain; test in robustness battery","Retain"))))</f>
        <v/>
      </c>
    </row>
    <row r="509">
      <c r="A509" s="55" t="n">
        <v>506</v>
      </c>
      <c r="B509" s="55">
        <f>IF('04_DATA'!A506="","",'04_DATA'!A506)</f>
        <v/>
      </c>
      <c r="C509" s="55">
        <f>IF('04_DATA'!A506="","",IF(AND('04_DATA'!G506=1,'04_DATA'!H506=1,'04_DATA'!I506&gt;=3),"eligible","EXCLUDE"))</f>
        <v/>
      </c>
      <c r="D509" s="55">
        <f>IF('04_DATA'!A506="","",37-COUNT('04_DATA'!$K506:$AU506))</f>
        <v/>
      </c>
      <c r="E509" s="63">
        <f>IF('04_DATA'!A506="","",(37-COUNT('04_DATA'!$K506:$AU506))/37)</f>
        <v/>
      </c>
      <c r="F509" s="55">
        <f>IF('04_DATA'!A506="","",IF(AND(COUNT('04_DATA'!$K506:$AU506)=37,COUNTIF('04_DATA'!$K506:$AU506,INDEX('04_DATA'!$K506:$AU506,1))=37),"EXCLUDE","ok"))</f>
        <v/>
      </c>
      <c r="G509" s="55">
        <f>IF('04_DATA'!A506="","",IF('04_DATA'!D506&lt;PERCENTILE('04_DATA'!$D$2:$D$1001,0.05),"FLAG","ok"))</f>
        <v/>
      </c>
      <c r="H509" s="55">
        <f>IF('04_DATA'!A506="","",IF(OR(C509="EXCLUDE",F509="EXCLUDE"),"Exclude under pre-specified rule",IF(E509&gt;0.15,"Exclude: &gt;15% missing",IF(G509="FLAG","Retain; test in robustness battery","Retain"))))</f>
        <v/>
      </c>
    </row>
    <row r="510">
      <c r="A510" s="55" t="n">
        <v>507</v>
      </c>
      <c r="B510" s="55">
        <f>IF('04_DATA'!A507="","",'04_DATA'!A507)</f>
        <v/>
      </c>
      <c r="C510" s="55">
        <f>IF('04_DATA'!A507="","",IF(AND('04_DATA'!G507=1,'04_DATA'!H507=1,'04_DATA'!I507&gt;=3),"eligible","EXCLUDE"))</f>
        <v/>
      </c>
      <c r="D510" s="55">
        <f>IF('04_DATA'!A507="","",37-COUNT('04_DATA'!$K507:$AU507))</f>
        <v/>
      </c>
      <c r="E510" s="63">
        <f>IF('04_DATA'!A507="","",(37-COUNT('04_DATA'!$K507:$AU507))/37)</f>
        <v/>
      </c>
      <c r="F510" s="55">
        <f>IF('04_DATA'!A507="","",IF(AND(COUNT('04_DATA'!$K507:$AU507)=37,COUNTIF('04_DATA'!$K507:$AU507,INDEX('04_DATA'!$K507:$AU507,1))=37),"EXCLUDE","ok"))</f>
        <v/>
      </c>
      <c r="G510" s="55">
        <f>IF('04_DATA'!A507="","",IF('04_DATA'!D507&lt;PERCENTILE('04_DATA'!$D$2:$D$1001,0.05),"FLAG","ok"))</f>
        <v/>
      </c>
      <c r="H510" s="55">
        <f>IF('04_DATA'!A507="","",IF(OR(C510="EXCLUDE",F510="EXCLUDE"),"Exclude under pre-specified rule",IF(E510&gt;0.15,"Exclude: &gt;15% missing",IF(G510="FLAG","Retain; test in robustness battery","Retain"))))</f>
        <v/>
      </c>
    </row>
    <row r="511">
      <c r="A511" s="55" t="n">
        <v>508</v>
      </c>
      <c r="B511" s="55">
        <f>IF('04_DATA'!A508="","",'04_DATA'!A508)</f>
        <v/>
      </c>
      <c r="C511" s="55">
        <f>IF('04_DATA'!A508="","",IF(AND('04_DATA'!G508=1,'04_DATA'!H508=1,'04_DATA'!I508&gt;=3),"eligible","EXCLUDE"))</f>
        <v/>
      </c>
      <c r="D511" s="55">
        <f>IF('04_DATA'!A508="","",37-COUNT('04_DATA'!$K508:$AU508))</f>
        <v/>
      </c>
      <c r="E511" s="63">
        <f>IF('04_DATA'!A508="","",(37-COUNT('04_DATA'!$K508:$AU508))/37)</f>
        <v/>
      </c>
      <c r="F511" s="55">
        <f>IF('04_DATA'!A508="","",IF(AND(COUNT('04_DATA'!$K508:$AU508)=37,COUNTIF('04_DATA'!$K508:$AU508,INDEX('04_DATA'!$K508:$AU508,1))=37),"EXCLUDE","ok"))</f>
        <v/>
      </c>
      <c r="G511" s="55">
        <f>IF('04_DATA'!A508="","",IF('04_DATA'!D508&lt;PERCENTILE('04_DATA'!$D$2:$D$1001,0.05),"FLAG","ok"))</f>
        <v/>
      </c>
      <c r="H511" s="55">
        <f>IF('04_DATA'!A508="","",IF(OR(C511="EXCLUDE",F511="EXCLUDE"),"Exclude under pre-specified rule",IF(E511&gt;0.15,"Exclude: &gt;15% missing",IF(G511="FLAG","Retain; test in robustness battery","Retain"))))</f>
        <v/>
      </c>
    </row>
    <row r="512">
      <c r="A512" s="55" t="n">
        <v>509</v>
      </c>
      <c r="B512" s="55">
        <f>IF('04_DATA'!A509="","",'04_DATA'!A509)</f>
        <v/>
      </c>
      <c r="C512" s="55">
        <f>IF('04_DATA'!A509="","",IF(AND('04_DATA'!G509=1,'04_DATA'!H509=1,'04_DATA'!I509&gt;=3),"eligible","EXCLUDE"))</f>
        <v/>
      </c>
      <c r="D512" s="55">
        <f>IF('04_DATA'!A509="","",37-COUNT('04_DATA'!$K509:$AU509))</f>
        <v/>
      </c>
      <c r="E512" s="63">
        <f>IF('04_DATA'!A509="","",(37-COUNT('04_DATA'!$K509:$AU509))/37)</f>
        <v/>
      </c>
      <c r="F512" s="55">
        <f>IF('04_DATA'!A509="","",IF(AND(COUNT('04_DATA'!$K509:$AU509)=37,COUNTIF('04_DATA'!$K509:$AU509,INDEX('04_DATA'!$K509:$AU509,1))=37),"EXCLUDE","ok"))</f>
        <v/>
      </c>
      <c r="G512" s="55">
        <f>IF('04_DATA'!A509="","",IF('04_DATA'!D509&lt;PERCENTILE('04_DATA'!$D$2:$D$1001,0.05),"FLAG","ok"))</f>
        <v/>
      </c>
      <c r="H512" s="55">
        <f>IF('04_DATA'!A509="","",IF(OR(C512="EXCLUDE",F512="EXCLUDE"),"Exclude under pre-specified rule",IF(E512&gt;0.15,"Exclude: &gt;15% missing",IF(G512="FLAG","Retain; test in robustness battery","Retain"))))</f>
        <v/>
      </c>
    </row>
    <row r="513">
      <c r="A513" s="55" t="n">
        <v>510</v>
      </c>
      <c r="B513" s="55">
        <f>IF('04_DATA'!A510="","",'04_DATA'!A510)</f>
        <v/>
      </c>
      <c r="C513" s="55">
        <f>IF('04_DATA'!A510="","",IF(AND('04_DATA'!G510=1,'04_DATA'!H510=1,'04_DATA'!I510&gt;=3),"eligible","EXCLUDE"))</f>
        <v/>
      </c>
      <c r="D513" s="55">
        <f>IF('04_DATA'!A510="","",37-COUNT('04_DATA'!$K510:$AU510))</f>
        <v/>
      </c>
      <c r="E513" s="63">
        <f>IF('04_DATA'!A510="","",(37-COUNT('04_DATA'!$K510:$AU510))/37)</f>
        <v/>
      </c>
      <c r="F513" s="55">
        <f>IF('04_DATA'!A510="","",IF(AND(COUNT('04_DATA'!$K510:$AU510)=37,COUNTIF('04_DATA'!$K510:$AU510,INDEX('04_DATA'!$K510:$AU510,1))=37),"EXCLUDE","ok"))</f>
        <v/>
      </c>
      <c r="G513" s="55">
        <f>IF('04_DATA'!A510="","",IF('04_DATA'!D510&lt;PERCENTILE('04_DATA'!$D$2:$D$1001,0.05),"FLAG","ok"))</f>
        <v/>
      </c>
      <c r="H513" s="55">
        <f>IF('04_DATA'!A510="","",IF(OR(C513="EXCLUDE",F513="EXCLUDE"),"Exclude under pre-specified rule",IF(E513&gt;0.15,"Exclude: &gt;15% missing",IF(G513="FLAG","Retain; test in robustness battery","Retain"))))</f>
        <v/>
      </c>
    </row>
    <row r="514">
      <c r="A514" s="55" t="n">
        <v>511</v>
      </c>
      <c r="B514" s="55">
        <f>IF('04_DATA'!A511="","",'04_DATA'!A511)</f>
        <v/>
      </c>
      <c r="C514" s="55">
        <f>IF('04_DATA'!A511="","",IF(AND('04_DATA'!G511=1,'04_DATA'!H511=1,'04_DATA'!I511&gt;=3),"eligible","EXCLUDE"))</f>
        <v/>
      </c>
      <c r="D514" s="55">
        <f>IF('04_DATA'!A511="","",37-COUNT('04_DATA'!$K511:$AU511))</f>
        <v/>
      </c>
      <c r="E514" s="63">
        <f>IF('04_DATA'!A511="","",(37-COUNT('04_DATA'!$K511:$AU511))/37)</f>
        <v/>
      </c>
      <c r="F514" s="55">
        <f>IF('04_DATA'!A511="","",IF(AND(COUNT('04_DATA'!$K511:$AU511)=37,COUNTIF('04_DATA'!$K511:$AU511,INDEX('04_DATA'!$K511:$AU511,1))=37),"EXCLUDE","ok"))</f>
        <v/>
      </c>
      <c r="G514" s="55">
        <f>IF('04_DATA'!A511="","",IF('04_DATA'!D511&lt;PERCENTILE('04_DATA'!$D$2:$D$1001,0.05),"FLAG","ok"))</f>
        <v/>
      </c>
      <c r="H514" s="55">
        <f>IF('04_DATA'!A511="","",IF(OR(C514="EXCLUDE",F514="EXCLUDE"),"Exclude under pre-specified rule",IF(E514&gt;0.15,"Exclude: &gt;15% missing",IF(G514="FLAG","Retain; test in robustness battery","Retain"))))</f>
        <v/>
      </c>
    </row>
    <row r="515">
      <c r="A515" s="55" t="n">
        <v>512</v>
      </c>
      <c r="B515" s="55">
        <f>IF('04_DATA'!A512="","",'04_DATA'!A512)</f>
        <v/>
      </c>
      <c r="C515" s="55">
        <f>IF('04_DATA'!A512="","",IF(AND('04_DATA'!G512=1,'04_DATA'!H512=1,'04_DATA'!I512&gt;=3),"eligible","EXCLUDE"))</f>
        <v/>
      </c>
      <c r="D515" s="55">
        <f>IF('04_DATA'!A512="","",37-COUNT('04_DATA'!$K512:$AU512))</f>
        <v/>
      </c>
      <c r="E515" s="63">
        <f>IF('04_DATA'!A512="","",(37-COUNT('04_DATA'!$K512:$AU512))/37)</f>
        <v/>
      </c>
      <c r="F515" s="55">
        <f>IF('04_DATA'!A512="","",IF(AND(COUNT('04_DATA'!$K512:$AU512)=37,COUNTIF('04_DATA'!$K512:$AU512,INDEX('04_DATA'!$K512:$AU512,1))=37),"EXCLUDE","ok"))</f>
        <v/>
      </c>
      <c r="G515" s="55">
        <f>IF('04_DATA'!A512="","",IF('04_DATA'!D512&lt;PERCENTILE('04_DATA'!$D$2:$D$1001,0.05),"FLAG","ok"))</f>
        <v/>
      </c>
      <c r="H515" s="55">
        <f>IF('04_DATA'!A512="","",IF(OR(C515="EXCLUDE",F515="EXCLUDE"),"Exclude under pre-specified rule",IF(E515&gt;0.15,"Exclude: &gt;15% missing",IF(G515="FLAG","Retain; test in robustness battery","Retain"))))</f>
        <v/>
      </c>
    </row>
    <row r="516">
      <c r="A516" s="55" t="n">
        <v>513</v>
      </c>
      <c r="B516" s="55">
        <f>IF('04_DATA'!A513="","",'04_DATA'!A513)</f>
        <v/>
      </c>
      <c r="C516" s="55">
        <f>IF('04_DATA'!A513="","",IF(AND('04_DATA'!G513=1,'04_DATA'!H513=1,'04_DATA'!I513&gt;=3),"eligible","EXCLUDE"))</f>
        <v/>
      </c>
      <c r="D516" s="55">
        <f>IF('04_DATA'!A513="","",37-COUNT('04_DATA'!$K513:$AU513))</f>
        <v/>
      </c>
      <c r="E516" s="63">
        <f>IF('04_DATA'!A513="","",(37-COUNT('04_DATA'!$K513:$AU513))/37)</f>
        <v/>
      </c>
      <c r="F516" s="55">
        <f>IF('04_DATA'!A513="","",IF(AND(COUNT('04_DATA'!$K513:$AU513)=37,COUNTIF('04_DATA'!$K513:$AU513,INDEX('04_DATA'!$K513:$AU513,1))=37),"EXCLUDE","ok"))</f>
        <v/>
      </c>
      <c r="G516" s="55">
        <f>IF('04_DATA'!A513="","",IF('04_DATA'!D513&lt;PERCENTILE('04_DATA'!$D$2:$D$1001,0.05),"FLAG","ok"))</f>
        <v/>
      </c>
      <c r="H516" s="55">
        <f>IF('04_DATA'!A513="","",IF(OR(C516="EXCLUDE",F516="EXCLUDE"),"Exclude under pre-specified rule",IF(E516&gt;0.15,"Exclude: &gt;15% missing",IF(G516="FLAG","Retain; test in robustness battery","Retain"))))</f>
        <v/>
      </c>
    </row>
    <row r="517">
      <c r="A517" s="55" t="n">
        <v>514</v>
      </c>
      <c r="B517" s="55">
        <f>IF('04_DATA'!A514="","",'04_DATA'!A514)</f>
        <v/>
      </c>
      <c r="C517" s="55">
        <f>IF('04_DATA'!A514="","",IF(AND('04_DATA'!G514=1,'04_DATA'!H514=1,'04_DATA'!I514&gt;=3),"eligible","EXCLUDE"))</f>
        <v/>
      </c>
      <c r="D517" s="55">
        <f>IF('04_DATA'!A514="","",37-COUNT('04_DATA'!$K514:$AU514))</f>
        <v/>
      </c>
      <c r="E517" s="63">
        <f>IF('04_DATA'!A514="","",(37-COUNT('04_DATA'!$K514:$AU514))/37)</f>
        <v/>
      </c>
      <c r="F517" s="55">
        <f>IF('04_DATA'!A514="","",IF(AND(COUNT('04_DATA'!$K514:$AU514)=37,COUNTIF('04_DATA'!$K514:$AU514,INDEX('04_DATA'!$K514:$AU514,1))=37),"EXCLUDE","ok"))</f>
        <v/>
      </c>
      <c r="G517" s="55">
        <f>IF('04_DATA'!A514="","",IF('04_DATA'!D514&lt;PERCENTILE('04_DATA'!$D$2:$D$1001,0.05),"FLAG","ok"))</f>
        <v/>
      </c>
      <c r="H517" s="55">
        <f>IF('04_DATA'!A514="","",IF(OR(C517="EXCLUDE",F517="EXCLUDE"),"Exclude under pre-specified rule",IF(E517&gt;0.15,"Exclude: &gt;15% missing",IF(G517="FLAG","Retain; test in robustness battery","Retain"))))</f>
        <v/>
      </c>
    </row>
    <row r="518">
      <c r="A518" s="55" t="n">
        <v>515</v>
      </c>
      <c r="B518" s="55">
        <f>IF('04_DATA'!A515="","",'04_DATA'!A515)</f>
        <v/>
      </c>
      <c r="C518" s="55">
        <f>IF('04_DATA'!A515="","",IF(AND('04_DATA'!G515=1,'04_DATA'!H515=1,'04_DATA'!I515&gt;=3),"eligible","EXCLUDE"))</f>
        <v/>
      </c>
      <c r="D518" s="55">
        <f>IF('04_DATA'!A515="","",37-COUNT('04_DATA'!$K515:$AU515))</f>
        <v/>
      </c>
      <c r="E518" s="63">
        <f>IF('04_DATA'!A515="","",(37-COUNT('04_DATA'!$K515:$AU515))/37)</f>
        <v/>
      </c>
      <c r="F518" s="55">
        <f>IF('04_DATA'!A515="","",IF(AND(COUNT('04_DATA'!$K515:$AU515)=37,COUNTIF('04_DATA'!$K515:$AU515,INDEX('04_DATA'!$K515:$AU515,1))=37),"EXCLUDE","ok"))</f>
        <v/>
      </c>
      <c r="G518" s="55">
        <f>IF('04_DATA'!A515="","",IF('04_DATA'!D515&lt;PERCENTILE('04_DATA'!$D$2:$D$1001,0.05),"FLAG","ok"))</f>
        <v/>
      </c>
      <c r="H518" s="55">
        <f>IF('04_DATA'!A515="","",IF(OR(C518="EXCLUDE",F518="EXCLUDE"),"Exclude under pre-specified rule",IF(E518&gt;0.15,"Exclude: &gt;15% missing",IF(G518="FLAG","Retain; test in robustness battery","Retain"))))</f>
        <v/>
      </c>
    </row>
    <row r="519">
      <c r="A519" s="55" t="n">
        <v>516</v>
      </c>
      <c r="B519" s="55">
        <f>IF('04_DATA'!A516="","",'04_DATA'!A516)</f>
        <v/>
      </c>
      <c r="C519" s="55">
        <f>IF('04_DATA'!A516="","",IF(AND('04_DATA'!G516=1,'04_DATA'!H516=1,'04_DATA'!I516&gt;=3),"eligible","EXCLUDE"))</f>
        <v/>
      </c>
      <c r="D519" s="55">
        <f>IF('04_DATA'!A516="","",37-COUNT('04_DATA'!$K516:$AU516))</f>
        <v/>
      </c>
      <c r="E519" s="63">
        <f>IF('04_DATA'!A516="","",(37-COUNT('04_DATA'!$K516:$AU516))/37)</f>
        <v/>
      </c>
      <c r="F519" s="55">
        <f>IF('04_DATA'!A516="","",IF(AND(COUNT('04_DATA'!$K516:$AU516)=37,COUNTIF('04_DATA'!$K516:$AU516,INDEX('04_DATA'!$K516:$AU516,1))=37),"EXCLUDE","ok"))</f>
        <v/>
      </c>
      <c r="G519" s="55">
        <f>IF('04_DATA'!A516="","",IF('04_DATA'!D516&lt;PERCENTILE('04_DATA'!$D$2:$D$1001,0.05),"FLAG","ok"))</f>
        <v/>
      </c>
      <c r="H519" s="55">
        <f>IF('04_DATA'!A516="","",IF(OR(C519="EXCLUDE",F519="EXCLUDE"),"Exclude under pre-specified rule",IF(E519&gt;0.15,"Exclude: &gt;15% missing",IF(G519="FLAG","Retain; test in robustness battery","Retain"))))</f>
        <v/>
      </c>
    </row>
    <row r="520">
      <c r="A520" s="55" t="n">
        <v>517</v>
      </c>
      <c r="B520" s="55">
        <f>IF('04_DATA'!A517="","",'04_DATA'!A517)</f>
        <v/>
      </c>
      <c r="C520" s="55">
        <f>IF('04_DATA'!A517="","",IF(AND('04_DATA'!G517=1,'04_DATA'!H517=1,'04_DATA'!I517&gt;=3),"eligible","EXCLUDE"))</f>
        <v/>
      </c>
      <c r="D520" s="55">
        <f>IF('04_DATA'!A517="","",37-COUNT('04_DATA'!$K517:$AU517))</f>
        <v/>
      </c>
      <c r="E520" s="63">
        <f>IF('04_DATA'!A517="","",(37-COUNT('04_DATA'!$K517:$AU517))/37)</f>
        <v/>
      </c>
      <c r="F520" s="55">
        <f>IF('04_DATA'!A517="","",IF(AND(COUNT('04_DATA'!$K517:$AU517)=37,COUNTIF('04_DATA'!$K517:$AU517,INDEX('04_DATA'!$K517:$AU517,1))=37),"EXCLUDE","ok"))</f>
        <v/>
      </c>
      <c r="G520" s="55">
        <f>IF('04_DATA'!A517="","",IF('04_DATA'!D517&lt;PERCENTILE('04_DATA'!$D$2:$D$1001,0.05),"FLAG","ok"))</f>
        <v/>
      </c>
      <c r="H520" s="55">
        <f>IF('04_DATA'!A517="","",IF(OR(C520="EXCLUDE",F520="EXCLUDE"),"Exclude under pre-specified rule",IF(E520&gt;0.15,"Exclude: &gt;15% missing",IF(G520="FLAG","Retain; test in robustness battery","Retain"))))</f>
        <v/>
      </c>
    </row>
    <row r="521">
      <c r="A521" s="55" t="n">
        <v>518</v>
      </c>
      <c r="B521" s="55">
        <f>IF('04_DATA'!A518="","",'04_DATA'!A518)</f>
        <v/>
      </c>
      <c r="C521" s="55">
        <f>IF('04_DATA'!A518="","",IF(AND('04_DATA'!G518=1,'04_DATA'!H518=1,'04_DATA'!I518&gt;=3),"eligible","EXCLUDE"))</f>
        <v/>
      </c>
      <c r="D521" s="55">
        <f>IF('04_DATA'!A518="","",37-COUNT('04_DATA'!$K518:$AU518))</f>
        <v/>
      </c>
      <c r="E521" s="63">
        <f>IF('04_DATA'!A518="","",(37-COUNT('04_DATA'!$K518:$AU518))/37)</f>
        <v/>
      </c>
      <c r="F521" s="55">
        <f>IF('04_DATA'!A518="","",IF(AND(COUNT('04_DATA'!$K518:$AU518)=37,COUNTIF('04_DATA'!$K518:$AU518,INDEX('04_DATA'!$K518:$AU518,1))=37),"EXCLUDE","ok"))</f>
        <v/>
      </c>
      <c r="G521" s="55">
        <f>IF('04_DATA'!A518="","",IF('04_DATA'!D518&lt;PERCENTILE('04_DATA'!$D$2:$D$1001,0.05),"FLAG","ok"))</f>
        <v/>
      </c>
      <c r="H521" s="55">
        <f>IF('04_DATA'!A518="","",IF(OR(C521="EXCLUDE",F521="EXCLUDE"),"Exclude under pre-specified rule",IF(E521&gt;0.15,"Exclude: &gt;15% missing",IF(G521="FLAG","Retain; test in robustness battery","Retain"))))</f>
        <v/>
      </c>
    </row>
    <row r="522">
      <c r="A522" s="55" t="n">
        <v>519</v>
      </c>
      <c r="B522" s="55">
        <f>IF('04_DATA'!A519="","",'04_DATA'!A519)</f>
        <v/>
      </c>
      <c r="C522" s="55">
        <f>IF('04_DATA'!A519="","",IF(AND('04_DATA'!G519=1,'04_DATA'!H519=1,'04_DATA'!I519&gt;=3),"eligible","EXCLUDE"))</f>
        <v/>
      </c>
      <c r="D522" s="55">
        <f>IF('04_DATA'!A519="","",37-COUNT('04_DATA'!$K519:$AU519))</f>
        <v/>
      </c>
      <c r="E522" s="63">
        <f>IF('04_DATA'!A519="","",(37-COUNT('04_DATA'!$K519:$AU519))/37)</f>
        <v/>
      </c>
      <c r="F522" s="55">
        <f>IF('04_DATA'!A519="","",IF(AND(COUNT('04_DATA'!$K519:$AU519)=37,COUNTIF('04_DATA'!$K519:$AU519,INDEX('04_DATA'!$K519:$AU519,1))=37),"EXCLUDE","ok"))</f>
        <v/>
      </c>
      <c r="G522" s="55">
        <f>IF('04_DATA'!A519="","",IF('04_DATA'!D519&lt;PERCENTILE('04_DATA'!$D$2:$D$1001,0.05),"FLAG","ok"))</f>
        <v/>
      </c>
      <c r="H522" s="55">
        <f>IF('04_DATA'!A519="","",IF(OR(C522="EXCLUDE",F522="EXCLUDE"),"Exclude under pre-specified rule",IF(E522&gt;0.15,"Exclude: &gt;15% missing",IF(G522="FLAG","Retain; test in robustness battery","Retain"))))</f>
        <v/>
      </c>
    </row>
    <row r="523">
      <c r="A523" s="55" t="n">
        <v>520</v>
      </c>
      <c r="B523" s="55">
        <f>IF('04_DATA'!A520="","",'04_DATA'!A520)</f>
        <v/>
      </c>
      <c r="C523" s="55">
        <f>IF('04_DATA'!A520="","",IF(AND('04_DATA'!G520=1,'04_DATA'!H520=1,'04_DATA'!I520&gt;=3),"eligible","EXCLUDE"))</f>
        <v/>
      </c>
      <c r="D523" s="55">
        <f>IF('04_DATA'!A520="","",37-COUNT('04_DATA'!$K520:$AU520))</f>
        <v/>
      </c>
      <c r="E523" s="63">
        <f>IF('04_DATA'!A520="","",(37-COUNT('04_DATA'!$K520:$AU520))/37)</f>
        <v/>
      </c>
      <c r="F523" s="55">
        <f>IF('04_DATA'!A520="","",IF(AND(COUNT('04_DATA'!$K520:$AU520)=37,COUNTIF('04_DATA'!$K520:$AU520,INDEX('04_DATA'!$K520:$AU520,1))=37),"EXCLUDE","ok"))</f>
        <v/>
      </c>
      <c r="G523" s="55">
        <f>IF('04_DATA'!A520="","",IF('04_DATA'!D520&lt;PERCENTILE('04_DATA'!$D$2:$D$1001,0.05),"FLAG","ok"))</f>
        <v/>
      </c>
      <c r="H523" s="55">
        <f>IF('04_DATA'!A520="","",IF(OR(C523="EXCLUDE",F523="EXCLUDE"),"Exclude under pre-specified rule",IF(E523&gt;0.15,"Exclude: &gt;15% missing",IF(G523="FLAG","Retain; test in robustness battery","Retain"))))</f>
        <v/>
      </c>
    </row>
    <row r="524">
      <c r="A524" s="55" t="n">
        <v>521</v>
      </c>
      <c r="B524" s="55">
        <f>IF('04_DATA'!A521="","",'04_DATA'!A521)</f>
        <v/>
      </c>
      <c r="C524" s="55">
        <f>IF('04_DATA'!A521="","",IF(AND('04_DATA'!G521=1,'04_DATA'!H521=1,'04_DATA'!I521&gt;=3),"eligible","EXCLUDE"))</f>
        <v/>
      </c>
      <c r="D524" s="55">
        <f>IF('04_DATA'!A521="","",37-COUNT('04_DATA'!$K521:$AU521))</f>
        <v/>
      </c>
      <c r="E524" s="63">
        <f>IF('04_DATA'!A521="","",(37-COUNT('04_DATA'!$K521:$AU521))/37)</f>
        <v/>
      </c>
      <c r="F524" s="55">
        <f>IF('04_DATA'!A521="","",IF(AND(COUNT('04_DATA'!$K521:$AU521)=37,COUNTIF('04_DATA'!$K521:$AU521,INDEX('04_DATA'!$K521:$AU521,1))=37),"EXCLUDE","ok"))</f>
        <v/>
      </c>
      <c r="G524" s="55">
        <f>IF('04_DATA'!A521="","",IF('04_DATA'!D521&lt;PERCENTILE('04_DATA'!$D$2:$D$1001,0.05),"FLAG","ok"))</f>
        <v/>
      </c>
      <c r="H524" s="55">
        <f>IF('04_DATA'!A521="","",IF(OR(C524="EXCLUDE",F524="EXCLUDE"),"Exclude under pre-specified rule",IF(E524&gt;0.15,"Exclude: &gt;15% missing",IF(G524="FLAG","Retain; test in robustness battery","Retain"))))</f>
        <v/>
      </c>
    </row>
    <row r="525">
      <c r="A525" s="55" t="n">
        <v>522</v>
      </c>
      <c r="B525" s="55">
        <f>IF('04_DATA'!A522="","",'04_DATA'!A522)</f>
        <v/>
      </c>
      <c r="C525" s="55">
        <f>IF('04_DATA'!A522="","",IF(AND('04_DATA'!G522=1,'04_DATA'!H522=1,'04_DATA'!I522&gt;=3),"eligible","EXCLUDE"))</f>
        <v/>
      </c>
      <c r="D525" s="55">
        <f>IF('04_DATA'!A522="","",37-COUNT('04_DATA'!$K522:$AU522))</f>
        <v/>
      </c>
      <c r="E525" s="63">
        <f>IF('04_DATA'!A522="","",(37-COUNT('04_DATA'!$K522:$AU522))/37)</f>
        <v/>
      </c>
      <c r="F525" s="55">
        <f>IF('04_DATA'!A522="","",IF(AND(COUNT('04_DATA'!$K522:$AU522)=37,COUNTIF('04_DATA'!$K522:$AU522,INDEX('04_DATA'!$K522:$AU522,1))=37),"EXCLUDE","ok"))</f>
        <v/>
      </c>
      <c r="G525" s="55">
        <f>IF('04_DATA'!A522="","",IF('04_DATA'!D522&lt;PERCENTILE('04_DATA'!$D$2:$D$1001,0.05),"FLAG","ok"))</f>
        <v/>
      </c>
      <c r="H525" s="55">
        <f>IF('04_DATA'!A522="","",IF(OR(C525="EXCLUDE",F525="EXCLUDE"),"Exclude under pre-specified rule",IF(E525&gt;0.15,"Exclude: &gt;15% missing",IF(G525="FLAG","Retain; test in robustness battery","Retain"))))</f>
        <v/>
      </c>
    </row>
    <row r="526">
      <c r="A526" s="55" t="n">
        <v>523</v>
      </c>
      <c r="B526" s="55">
        <f>IF('04_DATA'!A523="","",'04_DATA'!A523)</f>
        <v/>
      </c>
      <c r="C526" s="55">
        <f>IF('04_DATA'!A523="","",IF(AND('04_DATA'!G523=1,'04_DATA'!H523=1,'04_DATA'!I523&gt;=3),"eligible","EXCLUDE"))</f>
        <v/>
      </c>
      <c r="D526" s="55">
        <f>IF('04_DATA'!A523="","",37-COUNT('04_DATA'!$K523:$AU523))</f>
        <v/>
      </c>
      <c r="E526" s="63">
        <f>IF('04_DATA'!A523="","",(37-COUNT('04_DATA'!$K523:$AU523))/37)</f>
        <v/>
      </c>
      <c r="F526" s="55">
        <f>IF('04_DATA'!A523="","",IF(AND(COUNT('04_DATA'!$K523:$AU523)=37,COUNTIF('04_DATA'!$K523:$AU523,INDEX('04_DATA'!$K523:$AU523,1))=37),"EXCLUDE","ok"))</f>
        <v/>
      </c>
      <c r="G526" s="55">
        <f>IF('04_DATA'!A523="","",IF('04_DATA'!D523&lt;PERCENTILE('04_DATA'!$D$2:$D$1001,0.05),"FLAG","ok"))</f>
        <v/>
      </c>
      <c r="H526" s="55">
        <f>IF('04_DATA'!A523="","",IF(OR(C526="EXCLUDE",F526="EXCLUDE"),"Exclude under pre-specified rule",IF(E526&gt;0.15,"Exclude: &gt;15% missing",IF(G526="FLAG","Retain; test in robustness battery","Retain"))))</f>
        <v/>
      </c>
    </row>
    <row r="527">
      <c r="A527" s="55" t="n">
        <v>524</v>
      </c>
      <c r="B527" s="55">
        <f>IF('04_DATA'!A524="","",'04_DATA'!A524)</f>
        <v/>
      </c>
      <c r="C527" s="55">
        <f>IF('04_DATA'!A524="","",IF(AND('04_DATA'!G524=1,'04_DATA'!H524=1,'04_DATA'!I524&gt;=3),"eligible","EXCLUDE"))</f>
        <v/>
      </c>
      <c r="D527" s="55">
        <f>IF('04_DATA'!A524="","",37-COUNT('04_DATA'!$K524:$AU524))</f>
        <v/>
      </c>
      <c r="E527" s="63">
        <f>IF('04_DATA'!A524="","",(37-COUNT('04_DATA'!$K524:$AU524))/37)</f>
        <v/>
      </c>
      <c r="F527" s="55">
        <f>IF('04_DATA'!A524="","",IF(AND(COUNT('04_DATA'!$K524:$AU524)=37,COUNTIF('04_DATA'!$K524:$AU524,INDEX('04_DATA'!$K524:$AU524,1))=37),"EXCLUDE","ok"))</f>
        <v/>
      </c>
      <c r="G527" s="55">
        <f>IF('04_DATA'!A524="","",IF('04_DATA'!D524&lt;PERCENTILE('04_DATA'!$D$2:$D$1001,0.05),"FLAG","ok"))</f>
        <v/>
      </c>
      <c r="H527" s="55">
        <f>IF('04_DATA'!A524="","",IF(OR(C527="EXCLUDE",F527="EXCLUDE"),"Exclude under pre-specified rule",IF(E527&gt;0.15,"Exclude: &gt;15% missing",IF(G527="FLAG","Retain; test in robustness battery","Retain"))))</f>
        <v/>
      </c>
    </row>
    <row r="528">
      <c r="A528" s="55" t="n">
        <v>525</v>
      </c>
      <c r="B528" s="55">
        <f>IF('04_DATA'!A525="","",'04_DATA'!A525)</f>
        <v/>
      </c>
      <c r="C528" s="55">
        <f>IF('04_DATA'!A525="","",IF(AND('04_DATA'!G525=1,'04_DATA'!H525=1,'04_DATA'!I525&gt;=3),"eligible","EXCLUDE"))</f>
        <v/>
      </c>
      <c r="D528" s="55">
        <f>IF('04_DATA'!A525="","",37-COUNT('04_DATA'!$K525:$AU525))</f>
        <v/>
      </c>
      <c r="E528" s="63">
        <f>IF('04_DATA'!A525="","",(37-COUNT('04_DATA'!$K525:$AU525))/37)</f>
        <v/>
      </c>
      <c r="F528" s="55">
        <f>IF('04_DATA'!A525="","",IF(AND(COUNT('04_DATA'!$K525:$AU525)=37,COUNTIF('04_DATA'!$K525:$AU525,INDEX('04_DATA'!$K525:$AU525,1))=37),"EXCLUDE","ok"))</f>
        <v/>
      </c>
      <c r="G528" s="55">
        <f>IF('04_DATA'!A525="","",IF('04_DATA'!D525&lt;PERCENTILE('04_DATA'!$D$2:$D$1001,0.05),"FLAG","ok"))</f>
        <v/>
      </c>
      <c r="H528" s="55">
        <f>IF('04_DATA'!A525="","",IF(OR(C528="EXCLUDE",F528="EXCLUDE"),"Exclude under pre-specified rule",IF(E528&gt;0.15,"Exclude: &gt;15% missing",IF(G528="FLAG","Retain; test in robustness battery","Retain"))))</f>
        <v/>
      </c>
    </row>
    <row r="529">
      <c r="A529" s="55" t="n">
        <v>526</v>
      </c>
      <c r="B529" s="55">
        <f>IF('04_DATA'!A526="","",'04_DATA'!A526)</f>
        <v/>
      </c>
      <c r="C529" s="55">
        <f>IF('04_DATA'!A526="","",IF(AND('04_DATA'!G526=1,'04_DATA'!H526=1,'04_DATA'!I526&gt;=3),"eligible","EXCLUDE"))</f>
        <v/>
      </c>
      <c r="D529" s="55">
        <f>IF('04_DATA'!A526="","",37-COUNT('04_DATA'!$K526:$AU526))</f>
        <v/>
      </c>
      <c r="E529" s="63">
        <f>IF('04_DATA'!A526="","",(37-COUNT('04_DATA'!$K526:$AU526))/37)</f>
        <v/>
      </c>
      <c r="F529" s="55">
        <f>IF('04_DATA'!A526="","",IF(AND(COUNT('04_DATA'!$K526:$AU526)=37,COUNTIF('04_DATA'!$K526:$AU526,INDEX('04_DATA'!$K526:$AU526,1))=37),"EXCLUDE","ok"))</f>
        <v/>
      </c>
      <c r="G529" s="55">
        <f>IF('04_DATA'!A526="","",IF('04_DATA'!D526&lt;PERCENTILE('04_DATA'!$D$2:$D$1001,0.05),"FLAG","ok"))</f>
        <v/>
      </c>
      <c r="H529" s="55">
        <f>IF('04_DATA'!A526="","",IF(OR(C529="EXCLUDE",F529="EXCLUDE"),"Exclude under pre-specified rule",IF(E529&gt;0.15,"Exclude: &gt;15% missing",IF(G529="FLAG","Retain; test in robustness battery","Retain"))))</f>
        <v/>
      </c>
    </row>
    <row r="530">
      <c r="A530" s="55" t="n">
        <v>527</v>
      </c>
      <c r="B530" s="55">
        <f>IF('04_DATA'!A527="","",'04_DATA'!A527)</f>
        <v/>
      </c>
      <c r="C530" s="55">
        <f>IF('04_DATA'!A527="","",IF(AND('04_DATA'!G527=1,'04_DATA'!H527=1,'04_DATA'!I527&gt;=3),"eligible","EXCLUDE"))</f>
        <v/>
      </c>
      <c r="D530" s="55">
        <f>IF('04_DATA'!A527="","",37-COUNT('04_DATA'!$K527:$AU527))</f>
        <v/>
      </c>
      <c r="E530" s="63">
        <f>IF('04_DATA'!A527="","",(37-COUNT('04_DATA'!$K527:$AU527))/37)</f>
        <v/>
      </c>
      <c r="F530" s="55">
        <f>IF('04_DATA'!A527="","",IF(AND(COUNT('04_DATA'!$K527:$AU527)=37,COUNTIF('04_DATA'!$K527:$AU527,INDEX('04_DATA'!$K527:$AU527,1))=37),"EXCLUDE","ok"))</f>
        <v/>
      </c>
      <c r="G530" s="55">
        <f>IF('04_DATA'!A527="","",IF('04_DATA'!D527&lt;PERCENTILE('04_DATA'!$D$2:$D$1001,0.05),"FLAG","ok"))</f>
        <v/>
      </c>
      <c r="H530" s="55">
        <f>IF('04_DATA'!A527="","",IF(OR(C530="EXCLUDE",F530="EXCLUDE"),"Exclude under pre-specified rule",IF(E530&gt;0.15,"Exclude: &gt;15% missing",IF(G530="FLAG","Retain; test in robustness battery","Retain"))))</f>
        <v/>
      </c>
    </row>
    <row r="531">
      <c r="A531" s="55" t="n">
        <v>528</v>
      </c>
      <c r="B531" s="55">
        <f>IF('04_DATA'!A528="","",'04_DATA'!A528)</f>
        <v/>
      </c>
      <c r="C531" s="55">
        <f>IF('04_DATA'!A528="","",IF(AND('04_DATA'!G528=1,'04_DATA'!H528=1,'04_DATA'!I528&gt;=3),"eligible","EXCLUDE"))</f>
        <v/>
      </c>
      <c r="D531" s="55">
        <f>IF('04_DATA'!A528="","",37-COUNT('04_DATA'!$K528:$AU528))</f>
        <v/>
      </c>
      <c r="E531" s="63">
        <f>IF('04_DATA'!A528="","",(37-COUNT('04_DATA'!$K528:$AU528))/37)</f>
        <v/>
      </c>
      <c r="F531" s="55">
        <f>IF('04_DATA'!A528="","",IF(AND(COUNT('04_DATA'!$K528:$AU528)=37,COUNTIF('04_DATA'!$K528:$AU528,INDEX('04_DATA'!$K528:$AU528,1))=37),"EXCLUDE","ok"))</f>
        <v/>
      </c>
      <c r="G531" s="55">
        <f>IF('04_DATA'!A528="","",IF('04_DATA'!D528&lt;PERCENTILE('04_DATA'!$D$2:$D$1001,0.05),"FLAG","ok"))</f>
        <v/>
      </c>
      <c r="H531" s="55">
        <f>IF('04_DATA'!A528="","",IF(OR(C531="EXCLUDE",F531="EXCLUDE"),"Exclude under pre-specified rule",IF(E531&gt;0.15,"Exclude: &gt;15% missing",IF(G531="FLAG","Retain; test in robustness battery","Retain"))))</f>
        <v/>
      </c>
    </row>
    <row r="532">
      <c r="A532" s="55" t="n">
        <v>529</v>
      </c>
      <c r="B532" s="55">
        <f>IF('04_DATA'!A529="","",'04_DATA'!A529)</f>
        <v/>
      </c>
      <c r="C532" s="55">
        <f>IF('04_DATA'!A529="","",IF(AND('04_DATA'!G529=1,'04_DATA'!H529=1,'04_DATA'!I529&gt;=3),"eligible","EXCLUDE"))</f>
        <v/>
      </c>
      <c r="D532" s="55">
        <f>IF('04_DATA'!A529="","",37-COUNT('04_DATA'!$K529:$AU529))</f>
        <v/>
      </c>
      <c r="E532" s="63">
        <f>IF('04_DATA'!A529="","",(37-COUNT('04_DATA'!$K529:$AU529))/37)</f>
        <v/>
      </c>
      <c r="F532" s="55">
        <f>IF('04_DATA'!A529="","",IF(AND(COUNT('04_DATA'!$K529:$AU529)=37,COUNTIF('04_DATA'!$K529:$AU529,INDEX('04_DATA'!$K529:$AU529,1))=37),"EXCLUDE","ok"))</f>
        <v/>
      </c>
      <c r="G532" s="55">
        <f>IF('04_DATA'!A529="","",IF('04_DATA'!D529&lt;PERCENTILE('04_DATA'!$D$2:$D$1001,0.05),"FLAG","ok"))</f>
        <v/>
      </c>
      <c r="H532" s="55">
        <f>IF('04_DATA'!A529="","",IF(OR(C532="EXCLUDE",F532="EXCLUDE"),"Exclude under pre-specified rule",IF(E532&gt;0.15,"Exclude: &gt;15% missing",IF(G532="FLAG","Retain; test in robustness battery","Retain"))))</f>
        <v/>
      </c>
    </row>
    <row r="533">
      <c r="A533" s="55" t="n">
        <v>530</v>
      </c>
      <c r="B533" s="55">
        <f>IF('04_DATA'!A530="","",'04_DATA'!A530)</f>
        <v/>
      </c>
      <c r="C533" s="55">
        <f>IF('04_DATA'!A530="","",IF(AND('04_DATA'!G530=1,'04_DATA'!H530=1,'04_DATA'!I530&gt;=3),"eligible","EXCLUDE"))</f>
        <v/>
      </c>
      <c r="D533" s="55">
        <f>IF('04_DATA'!A530="","",37-COUNT('04_DATA'!$K530:$AU530))</f>
        <v/>
      </c>
      <c r="E533" s="63">
        <f>IF('04_DATA'!A530="","",(37-COUNT('04_DATA'!$K530:$AU530))/37)</f>
        <v/>
      </c>
      <c r="F533" s="55">
        <f>IF('04_DATA'!A530="","",IF(AND(COUNT('04_DATA'!$K530:$AU530)=37,COUNTIF('04_DATA'!$K530:$AU530,INDEX('04_DATA'!$K530:$AU530,1))=37),"EXCLUDE","ok"))</f>
        <v/>
      </c>
      <c r="G533" s="55">
        <f>IF('04_DATA'!A530="","",IF('04_DATA'!D530&lt;PERCENTILE('04_DATA'!$D$2:$D$1001,0.05),"FLAG","ok"))</f>
        <v/>
      </c>
      <c r="H533" s="55">
        <f>IF('04_DATA'!A530="","",IF(OR(C533="EXCLUDE",F533="EXCLUDE"),"Exclude under pre-specified rule",IF(E533&gt;0.15,"Exclude: &gt;15% missing",IF(G533="FLAG","Retain; test in robustness battery","Retain"))))</f>
        <v/>
      </c>
    </row>
    <row r="534">
      <c r="A534" s="55" t="n">
        <v>531</v>
      </c>
      <c r="B534" s="55">
        <f>IF('04_DATA'!A531="","",'04_DATA'!A531)</f>
        <v/>
      </c>
      <c r="C534" s="55">
        <f>IF('04_DATA'!A531="","",IF(AND('04_DATA'!G531=1,'04_DATA'!H531=1,'04_DATA'!I531&gt;=3),"eligible","EXCLUDE"))</f>
        <v/>
      </c>
      <c r="D534" s="55">
        <f>IF('04_DATA'!A531="","",37-COUNT('04_DATA'!$K531:$AU531))</f>
        <v/>
      </c>
      <c r="E534" s="63">
        <f>IF('04_DATA'!A531="","",(37-COUNT('04_DATA'!$K531:$AU531))/37)</f>
        <v/>
      </c>
      <c r="F534" s="55">
        <f>IF('04_DATA'!A531="","",IF(AND(COUNT('04_DATA'!$K531:$AU531)=37,COUNTIF('04_DATA'!$K531:$AU531,INDEX('04_DATA'!$K531:$AU531,1))=37),"EXCLUDE","ok"))</f>
        <v/>
      </c>
      <c r="G534" s="55">
        <f>IF('04_DATA'!A531="","",IF('04_DATA'!D531&lt;PERCENTILE('04_DATA'!$D$2:$D$1001,0.05),"FLAG","ok"))</f>
        <v/>
      </c>
      <c r="H534" s="55">
        <f>IF('04_DATA'!A531="","",IF(OR(C534="EXCLUDE",F534="EXCLUDE"),"Exclude under pre-specified rule",IF(E534&gt;0.15,"Exclude: &gt;15% missing",IF(G534="FLAG","Retain; test in robustness battery","Retain"))))</f>
        <v/>
      </c>
    </row>
    <row r="535">
      <c r="A535" s="55" t="n">
        <v>532</v>
      </c>
      <c r="B535" s="55">
        <f>IF('04_DATA'!A532="","",'04_DATA'!A532)</f>
        <v/>
      </c>
      <c r="C535" s="55">
        <f>IF('04_DATA'!A532="","",IF(AND('04_DATA'!G532=1,'04_DATA'!H532=1,'04_DATA'!I532&gt;=3),"eligible","EXCLUDE"))</f>
        <v/>
      </c>
      <c r="D535" s="55">
        <f>IF('04_DATA'!A532="","",37-COUNT('04_DATA'!$K532:$AU532))</f>
        <v/>
      </c>
      <c r="E535" s="63">
        <f>IF('04_DATA'!A532="","",(37-COUNT('04_DATA'!$K532:$AU532))/37)</f>
        <v/>
      </c>
      <c r="F535" s="55">
        <f>IF('04_DATA'!A532="","",IF(AND(COUNT('04_DATA'!$K532:$AU532)=37,COUNTIF('04_DATA'!$K532:$AU532,INDEX('04_DATA'!$K532:$AU532,1))=37),"EXCLUDE","ok"))</f>
        <v/>
      </c>
      <c r="G535" s="55">
        <f>IF('04_DATA'!A532="","",IF('04_DATA'!D532&lt;PERCENTILE('04_DATA'!$D$2:$D$1001,0.05),"FLAG","ok"))</f>
        <v/>
      </c>
      <c r="H535" s="55">
        <f>IF('04_DATA'!A532="","",IF(OR(C535="EXCLUDE",F535="EXCLUDE"),"Exclude under pre-specified rule",IF(E535&gt;0.15,"Exclude: &gt;15% missing",IF(G535="FLAG","Retain; test in robustness battery","Retain"))))</f>
        <v/>
      </c>
    </row>
    <row r="536">
      <c r="A536" s="55" t="n">
        <v>533</v>
      </c>
      <c r="B536" s="55">
        <f>IF('04_DATA'!A533="","",'04_DATA'!A533)</f>
        <v/>
      </c>
      <c r="C536" s="55">
        <f>IF('04_DATA'!A533="","",IF(AND('04_DATA'!G533=1,'04_DATA'!H533=1,'04_DATA'!I533&gt;=3),"eligible","EXCLUDE"))</f>
        <v/>
      </c>
      <c r="D536" s="55">
        <f>IF('04_DATA'!A533="","",37-COUNT('04_DATA'!$K533:$AU533))</f>
        <v/>
      </c>
      <c r="E536" s="63">
        <f>IF('04_DATA'!A533="","",(37-COUNT('04_DATA'!$K533:$AU533))/37)</f>
        <v/>
      </c>
      <c r="F536" s="55">
        <f>IF('04_DATA'!A533="","",IF(AND(COUNT('04_DATA'!$K533:$AU533)=37,COUNTIF('04_DATA'!$K533:$AU533,INDEX('04_DATA'!$K533:$AU533,1))=37),"EXCLUDE","ok"))</f>
        <v/>
      </c>
      <c r="G536" s="55">
        <f>IF('04_DATA'!A533="","",IF('04_DATA'!D533&lt;PERCENTILE('04_DATA'!$D$2:$D$1001,0.05),"FLAG","ok"))</f>
        <v/>
      </c>
      <c r="H536" s="55">
        <f>IF('04_DATA'!A533="","",IF(OR(C536="EXCLUDE",F536="EXCLUDE"),"Exclude under pre-specified rule",IF(E536&gt;0.15,"Exclude: &gt;15% missing",IF(G536="FLAG","Retain; test in robustness battery","Retain"))))</f>
        <v/>
      </c>
    </row>
    <row r="537">
      <c r="A537" s="55" t="n">
        <v>534</v>
      </c>
      <c r="B537" s="55">
        <f>IF('04_DATA'!A534="","",'04_DATA'!A534)</f>
        <v/>
      </c>
      <c r="C537" s="55">
        <f>IF('04_DATA'!A534="","",IF(AND('04_DATA'!G534=1,'04_DATA'!H534=1,'04_DATA'!I534&gt;=3),"eligible","EXCLUDE"))</f>
        <v/>
      </c>
      <c r="D537" s="55">
        <f>IF('04_DATA'!A534="","",37-COUNT('04_DATA'!$K534:$AU534))</f>
        <v/>
      </c>
      <c r="E537" s="63">
        <f>IF('04_DATA'!A534="","",(37-COUNT('04_DATA'!$K534:$AU534))/37)</f>
        <v/>
      </c>
      <c r="F537" s="55">
        <f>IF('04_DATA'!A534="","",IF(AND(COUNT('04_DATA'!$K534:$AU534)=37,COUNTIF('04_DATA'!$K534:$AU534,INDEX('04_DATA'!$K534:$AU534,1))=37),"EXCLUDE","ok"))</f>
        <v/>
      </c>
      <c r="G537" s="55">
        <f>IF('04_DATA'!A534="","",IF('04_DATA'!D534&lt;PERCENTILE('04_DATA'!$D$2:$D$1001,0.05),"FLAG","ok"))</f>
        <v/>
      </c>
      <c r="H537" s="55">
        <f>IF('04_DATA'!A534="","",IF(OR(C537="EXCLUDE",F537="EXCLUDE"),"Exclude under pre-specified rule",IF(E537&gt;0.15,"Exclude: &gt;15% missing",IF(G537="FLAG","Retain; test in robustness battery","Retain"))))</f>
        <v/>
      </c>
    </row>
    <row r="538">
      <c r="A538" s="55" t="n">
        <v>535</v>
      </c>
      <c r="B538" s="55">
        <f>IF('04_DATA'!A535="","",'04_DATA'!A535)</f>
        <v/>
      </c>
      <c r="C538" s="55">
        <f>IF('04_DATA'!A535="","",IF(AND('04_DATA'!G535=1,'04_DATA'!H535=1,'04_DATA'!I535&gt;=3),"eligible","EXCLUDE"))</f>
        <v/>
      </c>
      <c r="D538" s="55">
        <f>IF('04_DATA'!A535="","",37-COUNT('04_DATA'!$K535:$AU535))</f>
        <v/>
      </c>
      <c r="E538" s="63">
        <f>IF('04_DATA'!A535="","",(37-COUNT('04_DATA'!$K535:$AU535))/37)</f>
        <v/>
      </c>
      <c r="F538" s="55">
        <f>IF('04_DATA'!A535="","",IF(AND(COUNT('04_DATA'!$K535:$AU535)=37,COUNTIF('04_DATA'!$K535:$AU535,INDEX('04_DATA'!$K535:$AU535,1))=37),"EXCLUDE","ok"))</f>
        <v/>
      </c>
      <c r="G538" s="55">
        <f>IF('04_DATA'!A535="","",IF('04_DATA'!D535&lt;PERCENTILE('04_DATA'!$D$2:$D$1001,0.05),"FLAG","ok"))</f>
        <v/>
      </c>
      <c r="H538" s="55">
        <f>IF('04_DATA'!A535="","",IF(OR(C538="EXCLUDE",F538="EXCLUDE"),"Exclude under pre-specified rule",IF(E538&gt;0.15,"Exclude: &gt;15% missing",IF(G538="FLAG","Retain; test in robustness battery","Retain"))))</f>
        <v/>
      </c>
    </row>
    <row r="539">
      <c r="A539" s="55" t="n">
        <v>536</v>
      </c>
      <c r="B539" s="55">
        <f>IF('04_DATA'!A536="","",'04_DATA'!A536)</f>
        <v/>
      </c>
      <c r="C539" s="55">
        <f>IF('04_DATA'!A536="","",IF(AND('04_DATA'!G536=1,'04_DATA'!H536=1,'04_DATA'!I536&gt;=3),"eligible","EXCLUDE"))</f>
        <v/>
      </c>
      <c r="D539" s="55">
        <f>IF('04_DATA'!A536="","",37-COUNT('04_DATA'!$K536:$AU536))</f>
        <v/>
      </c>
      <c r="E539" s="63">
        <f>IF('04_DATA'!A536="","",(37-COUNT('04_DATA'!$K536:$AU536))/37)</f>
        <v/>
      </c>
      <c r="F539" s="55">
        <f>IF('04_DATA'!A536="","",IF(AND(COUNT('04_DATA'!$K536:$AU536)=37,COUNTIF('04_DATA'!$K536:$AU536,INDEX('04_DATA'!$K536:$AU536,1))=37),"EXCLUDE","ok"))</f>
        <v/>
      </c>
      <c r="G539" s="55">
        <f>IF('04_DATA'!A536="","",IF('04_DATA'!D536&lt;PERCENTILE('04_DATA'!$D$2:$D$1001,0.05),"FLAG","ok"))</f>
        <v/>
      </c>
      <c r="H539" s="55">
        <f>IF('04_DATA'!A536="","",IF(OR(C539="EXCLUDE",F539="EXCLUDE"),"Exclude under pre-specified rule",IF(E539&gt;0.15,"Exclude: &gt;15% missing",IF(G539="FLAG","Retain; test in robustness battery","Retain"))))</f>
        <v/>
      </c>
    </row>
    <row r="540">
      <c r="A540" s="55" t="n">
        <v>537</v>
      </c>
      <c r="B540" s="55">
        <f>IF('04_DATA'!A537="","",'04_DATA'!A537)</f>
        <v/>
      </c>
      <c r="C540" s="55">
        <f>IF('04_DATA'!A537="","",IF(AND('04_DATA'!G537=1,'04_DATA'!H537=1,'04_DATA'!I537&gt;=3),"eligible","EXCLUDE"))</f>
        <v/>
      </c>
      <c r="D540" s="55">
        <f>IF('04_DATA'!A537="","",37-COUNT('04_DATA'!$K537:$AU537))</f>
        <v/>
      </c>
      <c r="E540" s="63">
        <f>IF('04_DATA'!A537="","",(37-COUNT('04_DATA'!$K537:$AU537))/37)</f>
        <v/>
      </c>
      <c r="F540" s="55">
        <f>IF('04_DATA'!A537="","",IF(AND(COUNT('04_DATA'!$K537:$AU537)=37,COUNTIF('04_DATA'!$K537:$AU537,INDEX('04_DATA'!$K537:$AU537,1))=37),"EXCLUDE","ok"))</f>
        <v/>
      </c>
      <c r="G540" s="55">
        <f>IF('04_DATA'!A537="","",IF('04_DATA'!D537&lt;PERCENTILE('04_DATA'!$D$2:$D$1001,0.05),"FLAG","ok"))</f>
        <v/>
      </c>
      <c r="H540" s="55">
        <f>IF('04_DATA'!A537="","",IF(OR(C540="EXCLUDE",F540="EXCLUDE"),"Exclude under pre-specified rule",IF(E540&gt;0.15,"Exclude: &gt;15% missing",IF(G540="FLAG","Retain; test in robustness battery","Retain"))))</f>
        <v/>
      </c>
    </row>
    <row r="541">
      <c r="A541" s="55" t="n">
        <v>538</v>
      </c>
      <c r="B541" s="55">
        <f>IF('04_DATA'!A538="","",'04_DATA'!A538)</f>
        <v/>
      </c>
      <c r="C541" s="55">
        <f>IF('04_DATA'!A538="","",IF(AND('04_DATA'!G538=1,'04_DATA'!H538=1,'04_DATA'!I538&gt;=3),"eligible","EXCLUDE"))</f>
        <v/>
      </c>
      <c r="D541" s="55">
        <f>IF('04_DATA'!A538="","",37-COUNT('04_DATA'!$K538:$AU538))</f>
        <v/>
      </c>
      <c r="E541" s="63">
        <f>IF('04_DATA'!A538="","",(37-COUNT('04_DATA'!$K538:$AU538))/37)</f>
        <v/>
      </c>
      <c r="F541" s="55">
        <f>IF('04_DATA'!A538="","",IF(AND(COUNT('04_DATA'!$K538:$AU538)=37,COUNTIF('04_DATA'!$K538:$AU538,INDEX('04_DATA'!$K538:$AU538,1))=37),"EXCLUDE","ok"))</f>
        <v/>
      </c>
      <c r="G541" s="55">
        <f>IF('04_DATA'!A538="","",IF('04_DATA'!D538&lt;PERCENTILE('04_DATA'!$D$2:$D$1001,0.05),"FLAG","ok"))</f>
        <v/>
      </c>
      <c r="H541" s="55">
        <f>IF('04_DATA'!A538="","",IF(OR(C541="EXCLUDE",F541="EXCLUDE"),"Exclude under pre-specified rule",IF(E541&gt;0.15,"Exclude: &gt;15% missing",IF(G541="FLAG","Retain; test in robustness battery","Retain"))))</f>
        <v/>
      </c>
    </row>
    <row r="542">
      <c r="A542" s="55" t="n">
        <v>539</v>
      </c>
      <c r="B542" s="55">
        <f>IF('04_DATA'!A539="","",'04_DATA'!A539)</f>
        <v/>
      </c>
      <c r="C542" s="55">
        <f>IF('04_DATA'!A539="","",IF(AND('04_DATA'!G539=1,'04_DATA'!H539=1,'04_DATA'!I539&gt;=3),"eligible","EXCLUDE"))</f>
        <v/>
      </c>
      <c r="D542" s="55">
        <f>IF('04_DATA'!A539="","",37-COUNT('04_DATA'!$K539:$AU539))</f>
        <v/>
      </c>
      <c r="E542" s="63">
        <f>IF('04_DATA'!A539="","",(37-COUNT('04_DATA'!$K539:$AU539))/37)</f>
        <v/>
      </c>
      <c r="F542" s="55">
        <f>IF('04_DATA'!A539="","",IF(AND(COUNT('04_DATA'!$K539:$AU539)=37,COUNTIF('04_DATA'!$K539:$AU539,INDEX('04_DATA'!$K539:$AU539,1))=37),"EXCLUDE","ok"))</f>
        <v/>
      </c>
      <c r="G542" s="55">
        <f>IF('04_DATA'!A539="","",IF('04_DATA'!D539&lt;PERCENTILE('04_DATA'!$D$2:$D$1001,0.05),"FLAG","ok"))</f>
        <v/>
      </c>
      <c r="H542" s="55">
        <f>IF('04_DATA'!A539="","",IF(OR(C542="EXCLUDE",F542="EXCLUDE"),"Exclude under pre-specified rule",IF(E542&gt;0.15,"Exclude: &gt;15% missing",IF(G542="FLAG","Retain; test in robustness battery","Retain"))))</f>
        <v/>
      </c>
    </row>
    <row r="543">
      <c r="A543" s="55" t="n">
        <v>540</v>
      </c>
      <c r="B543" s="55">
        <f>IF('04_DATA'!A540="","",'04_DATA'!A540)</f>
        <v/>
      </c>
      <c r="C543" s="55">
        <f>IF('04_DATA'!A540="","",IF(AND('04_DATA'!G540=1,'04_DATA'!H540=1,'04_DATA'!I540&gt;=3),"eligible","EXCLUDE"))</f>
        <v/>
      </c>
      <c r="D543" s="55">
        <f>IF('04_DATA'!A540="","",37-COUNT('04_DATA'!$K540:$AU540))</f>
        <v/>
      </c>
      <c r="E543" s="63">
        <f>IF('04_DATA'!A540="","",(37-COUNT('04_DATA'!$K540:$AU540))/37)</f>
        <v/>
      </c>
      <c r="F543" s="55">
        <f>IF('04_DATA'!A540="","",IF(AND(COUNT('04_DATA'!$K540:$AU540)=37,COUNTIF('04_DATA'!$K540:$AU540,INDEX('04_DATA'!$K540:$AU540,1))=37),"EXCLUDE","ok"))</f>
        <v/>
      </c>
      <c r="G543" s="55">
        <f>IF('04_DATA'!A540="","",IF('04_DATA'!D540&lt;PERCENTILE('04_DATA'!$D$2:$D$1001,0.05),"FLAG","ok"))</f>
        <v/>
      </c>
      <c r="H543" s="55">
        <f>IF('04_DATA'!A540="","",IF(OR(C543="EXCLUDE",F543="EXCLUDE"),"Exclude under pre-specified rule",IF(E543&gt;0.15,"Exclude: &gt;15% missing",IF(G543="FLAG","Retain; test in robustness battery","Retain"))))</f>
        <v/>
      </c>
    </row>
    <row r="544">
      <c r="A544" s="55" t="n">
        <v>541</v>
      </c>
      <c r="B544" s="55">
        <f>IF('04_DATA'!A541="","",'04_DATA'!A541)</f>
        <v/>
      </c>
      <c r="C544" s="55">
        <f>IF('04_DATA'!A541="","",IF(AND('04_DATA'!G541=1,'04_DATA'!H541=1,'04_DATA'!I541&gt;=3),"eligible","EXCLUDE"))</f>
        <v/>
      </c>
      <c r="D544" s="55">
        <f>IF('04_DATA'!A541="","",37-COUNT('04_DATA'!$K541:$AU541))</f>
        <v/>
      </c>
      <c r="E544" s="63">
        <f>IF('04_DATA'!A541="","",(37-COUNT('04_DATA'!$K541:$AU541))/37)</f>
        <v/>
      </c>
      <c r="F544" s="55">
        <f>IF('04_DATA'!A541="","",IF(AND(COUNT('04_DATA'!$K541:$AU541)=37,COUNTIF('04_DATA'!$K541:$AU541,INDEX('04_DATA'!$K541:$AU541,1))=37),"EXCLUDE","ok"))</f>
        <v/>
      </c>
      <c r="G544" s="55">
        <f>IF('04_DATA'!A541="","",IF('04_DATA'!D541&lt;PERCENTILE('04_DATA'!$D$2:$D$1001,0.05),"FLAG","ok"))</f>
        <v/>
      </c>
      <c r="H544" s="55">
        <f>IF('04_DATA'!A541="","",IF(OR(C544="EXCLUDE",F544="EXCLUDE"),"Exclude under pre-specified rule",IF(E544&gt;0.15,"Exclude: &gt;15% missing",IF(G544="FLAG","Retain; test in robustness battery","Retain"))))</f>
        <v/>
      </c>
    </row>
    <row r="545">
      <c r="A545" s="55" t="n">
        <v>542</v>
      </c>
      <c r="B545" s="55">
        <f>IF('04_DATA'!A542="","",'04_DATA'!A542)</f>
        <v/>
      </c>
      <c r="C545" s="55">
        <f>IF('04_DATA'!A542="","",IF(AND('04_DATA'!G542=1,'04_DATA'!H542=1,'04_DATA'!I542&gt;=3),"eligible","EXCLUDE"))</f>
        <v/>
      </c>
      <c r="D545" s="55">
        <f>IF('04_DATA'!A542="","",37-COUNT('04_DATA'!$K542:$AU542))</f>
        <v/>
      </c>
      <c r="E545" s="63">
        <f>IF('04_DATA'!A542="","",(37-COUNT('04_DATA'!$K542:$AU542))/37)</f>
        <v/>
      </c>
      <c r="F545" s="55">
        <f>IF('04_DATA'!A542="","",IF(AND(COUNT('04_DATA'!$K542:$AU542)=37,COUNTIF('04_DATA'!$K542:$AU542,INDEX('04_DATA'!$K542:$AU542,1))=37),"EXCLUDE","ok"))</f>
        <v/>
      </c>
      <c r="G545" s="55">
        <f>IF('04_DATA'!A542="","",IF('04_DATA'!D542&lt;PERCENTILE('04_DATA'!$D$2:$D$1001,0.05),"FLAG","ok"))</f>
        <v/>
      </c>
      <c r="H545" s="55">
        <f>IF('04_DATA'!A542="","",IF(OR(C545="EXCLUDE",F545="EXCLUDE"),"Exclude under pre-specified rule",IF(E545&gt;0.15,"Exclude: &gt;15% missing",IF(G545="FLAG","Retain; test in robustness battery","Retain"))))</f>
        <v/>
      </c>
    </row>
    <row r="546">
      <c r="A546" s="55" t="n">
        <v>543</v>
      </c>
      <c r="B546" s="55">
        <f>IF('04_DATA'!A543="","",'04_DATA'!A543)</f>
        <v/>
      </c>
      <c r="C546" s="55">
        <f>IF('04_DATA'!A543="","",IF(AND('04_DATA'!G543=1,'04_DATA'!H543=1,'04_DATA'!I543&gt;=3),"eligible","EXCLUDE"))</f>
        <v/>
      </c>
      <c r="D546" s="55">
        <f>IF('04_DATA'!A543="","",37-COUNT('04_DATA'!$K543:$AU543))</f>
        <v/>
      </c>
      <c r="E546" s="63">
        <f>IF('04_DATA'!A543="","",(37-COUNT('04_DATA'!$K543:$AU543))/37)</f>
        <v/>
      </c>
      <c r="F546" s="55">
        <f>IF('04_DATA'!A543="","",IF(AND(COUNT('04_DATA'!$K543:$AU543)=37,COUNTIF('04_DATA'!$K543:$AU543,INDEX('04_DATA'!$K543:$AU543,1))=37),"EXCLUDE","ok"))</f>
        <v/>
      </c>
      <c r="G546" s="55">
        <f>IF('04_DATA'!A543="","",IF('04_DATA'!D543&lt;PERCENTILE('04_DATA'!$D$2:$D$1001,0.05),"FLAG","ok"))</f>
        <v/>
      </c>
      <c r="H546" s="55">
        <f>IF('04_DATA'!A543="","",IF(OR(C546="EXCLUDE",F546="EXCLUDE"),"Exclude under pre-specified rule",IF(E546&gt;0.15,"Exclude: &gt;15% missing",IF(G546="FLAG","Retain; test in robustness battery","Retain"))))</f>
        <v/>
      </c>
    </row>
    <row r="547">
      <c r="A547" s="55" t="n">
        <v>544</v>
      </c>
      <c r="B547" s="55">
        <f>IF('04_DATA'!A544="","",'04_DATA'!A544)</f>
        <v/>
      </c>
      <c r="C547" s="55">
        <f>IF('04_DATA'!A544="","",IF(AND('04_DATA'!G544=1,'04_DATA'!H544=1,'04_DATA'!I544&gt;=3),"eligible","EXCLUDE"))</f>
        <v/>
      </c>
      <c r="D547" s="55">
        <f>IF('04_DATA'!A544="","",37-COUNT('04_DATA'!$K544:$AU544))</f>
        <v/>
      </c>
      <c r="E547" s="63">
        <f>IF('04_DATA'!A544="","",(37-COUNT('04_DATA'!$K544:$AU544))/37)</f>
        <v/>
      </c>
      <c r="F547" s="55">
        <f>IF('04_DATA'!A544="","",IF(AND(COUNT('04_DATA'!$K544:$AU544)=37,COUNTIF('04_DATA'!$K544:$AU544,INDEX('04_DATA'!$K544:$AU544,1))=37),"EXCLUDE","ok"))</f>
        <v/>
      </c>
      <c r="G547" s="55">
        <f>IF('04_DATA'!A544="","",IF('04_DATA'!D544&lt;PERCENTILE('04_DATA'!$D$2:$D$1001,0.05),"FLAG","ok"))</f>
        <v/>
      </c>
      <c r="H547" s="55">
        <f>IF('04_DATA'!A544="","",IF(OR(C547="EXCLUDE",F547="EXCLUDE"),"Exclude under pre-specified rule",IF(E547&gt;0.15,"Exclude: &gt;15% missing",IF(G547="FLAG","Retain; test in robustness battery","Retain"))))</f>
        <v/>
      </c>
    </row>
    <row r="548">
      <c r="A548" s="55" t="n">
        <v>545</v>
      </c>
      <c r="B548" s="55">
        <f>IF('04_DATA'!A545="","",'04_DATA'!A545)</f>
        <v/>
      </c>
      <c r="C548" s="55">
        <f>IF('04_DATA'!A545="","",IF(AND('04_DATA'!G545=1,'04_DATA'!H545=1,'04_DATA'!I545&gt;=3),"eligible","EXCLUDE"))</f>
        <v/>
      </c>
      <c r="D548" s="55">
        <f>IF('04_DATA'!A545="","",37-COUNT('04_DATA'!$K545:$AU545))</f>
        <v/>
      </c>
      <c r="E548" s="63">
        <f>IF('04_DATA'!A545="","",(37-COUNT('04_DATA'!$K545:$AU545))/37)</f>
        <v/>
      </c>
      <c r="F548" s="55">
        <f>IF('04_DATA'!A545="","",IF(AND(COUNT('04_DATA'!$K545:$AU545)=37,COUNTIF('04_DATA'!$K545:$AU545,INDEX('04_DATA'!$K545:$AU545,1))=37),"EXCLUDE","ok"))</f>
        <v/>
      </c>
      <c r="G548" s="55">
        <f>IF('04_DATA'!A545="","",IF('04_DATA'!D545&lt;PERCENTILE('04_DATA'!$D$2:$D$1001,0.05),"FLAG","ok"))</f>
        <v/>
      </c>
      <c r="H548" s="55">
        <f>IF('04_DATA'!A545="","",IF(OR(C548="EXCLUDE",F548="EXCLUDE"),"Exclude under pre-specified rule",IF(E548&gt;0.15,"Exclude: &gt;15% missing",IF(G548="FLAG","Retain; test in robustness battery","Retain"))))</f>
        <v/>
      </c>
    </row>
    <row r="549">
      <c r="A549" s="55" t="n">
        <v>546</v>
      </c>
      <c r="B549" s="55">
        <f>IF('04_DATA'!A546="","",'04_DATA'!A546)</f>
        <v/>
      </c>
      <c r="C549" s="55">
        <f>IF('04_DATA'!A546="","",IF(AND('04_DATA'!G546=1,'04_DATA'!H546=1,'04_DATA'!I546&gt;=3),"eligible","EXCLUDE"))</f>
        <v/>
      </c>
      <c r="D549" s="55">
        <f>IF('04_DATA'!A546="","",37-COUNT('04_DATA'!$K546:$AU546))</f>
        <v/>
      </c>
      <c r="E549" s="63">
        <f>IF('04_DATA'!A546="","",(37-COUNT('04_DATA'!$K546:$AU546))/37)</f>
        <v/>
      </c>
      <c r="F549" s="55">
        <f>IF('04_DATA'!A546="","",IF(AND(COUNT('04_DATA'!$K546:$AU546)=37,COUNTIF('04_DATA'!$K546:$AU546,INDEX('04_DATA'!$K546:$AU546,1))=37),"EXCLUDE","ok"))</f>
        <v/>
      </c>
      <c r="G549" s="55">
        <f>IF('04_DATA'!A546="","",IF('04_DATA'!D546&lt;PERCENTILE('04_DATA'!$D$2:$D$1001,0.05),"FLAG","ok"))</f>
        <v/>
      </c>
      <c r="H549" s="55">
        <f>IF('04_DATA'!A546="","",IF(OR(C549="EXCLUDE",F549="EXCLUDE"),"Exclude under pre-specified rule",IF(E549&gt;0.15,"Exclude: &gt;15% missing",IF(G549="FLAG","Retain; test in robustness battery","Retain"))))</f>
        <v/>
      </c>
    </row>
    <row r="550">
      <c r="A550" s="55" t="n">
        <v>547</v>
      </c>
      <c r="B550" s="55">
        <f>IF('04_DATA'!A547="","",'04_DATA'!A547)</f>
        <v/>
      </c>
      <c r="C550" s="55">
        <f>IF('04_DATA'!A547="","",IF(AND('04_DATA'!G547=1,'04_DATA'!H547=1,'04_DATA'!I547&gt;=3),"eligible","EXCLUDE"))</f>
        <v/>
      </c>
      <c r="D550" s="55">
        <f>IF('04_DATA'!A547="","",37-COUNT('04_DATA'!$K547:$AU547))</f>
        <v/>
      </c>
      <c r="E550" s="63">
        <f>IF('04_DATA'!A547="","",(37-COUNT('04_DATA'!$K547:$AU547))/37)</f>
        <v/>
      </c>
      <c r="F550" s="55">
        <f>IF('04_DATA'!A547="","",IF(AND(COUNT('04_DATA'!$K547:$AU547)=37,COUNTIF('04_DATA'!$K547:$AU547,INDEX('04_DATA'!$K547:$AU547,1))=37),"EXCLUDE","ok"))</f>
        <v/>
      </c>
      <c r="G550" s="55">
        <f>IF('04_DATA'!A547="","",IF('04_DATA'!D547&lt;PERCENTILE('04_DATA'!$D$2:$D$1001,0.05),"FLAG","ok"))</f>
        <v/>
      </c>
      <c r="H550" s="55">
        <f>IF('04_DATA'!A547="","",IF(OR(C550="EXCLUDE",F550="EXCLUDE"),"Exclude under pre-specified rule",IF(E550&gt;0.15,"Exclude: &gt;15% missing",IF(G550="FLAG","Retain; test in robustness battery","Retain"))))</f>
        <v/>
      </c>
    </row>
    <row r="551">
      <c r="A551" s="55" t="n">
        <v>548</v>
      </c>
      <c r="B551" s="55">
        <f>IF('04_DATA'!A548="","",'04_DATA'!A548)</f>
        <v/>
      </c>
      <c r="C551" s="55">
        <f>IF('04_DATA'!A548="","",IF(AND('04_DATA'!G548=1,'04_DATA'!H548=1,'04_DATA'!I548&gt;=3),"eligible","EXCLUDE"))</f>
        <v/>
      </c>
      <c r="D551" s="55">
        <f>IF('04_DATA'!A548="","",37-COUNT('04_DATA'!$K548:$AU548))</f>
        <v/>
      </c>
      <c r="E551" s="63">
        <f>IF('04_DATA'!A548="","",(37-COUNT('04_DATA'!$K548:$AU548))/37)</f>
        <v/>
      </c>
      <c r="F551" s="55">
        <f>IF('04_DATA'!A548="","",IF(AND(COUNT('04_DATA'!$K548:$AU548)=37,COUNTIF('04_DATA'!$K548:$AU548,INDEX('04_DATA'!$K548:$AU548,1))=37),"EXCLUDE","ok"))</f>
        <v/>
      </c>
      <c r="G551" s="55">
        <f>IF('04_DATA'!A548="","",IF('04_DATA'!D548&lt;PERCENTILE('04_DATA'!$D$2:$D$1001,0.05),"FLAG","ok"))</f>
        <v/>
      </c>
      <c r="H551" s="55">
        <f>IF('04_DATA'!A548="","",IF(OR(C551="EXCLUDE",F551="EXCLUDE"),"Exclude under pre-specified rule",IF(E551&gt;0.15,"Exclude: &gt;15% missing",IF(G551="FLAG","Retain; test in robustness battery","Retain"))))</f>
        <v/>
      </c>
    </row>
    <row r="552">
      <c r="A552" s="55" t="n">
        <v>549</v>
      </c>
      <c r="B552" s="55">
        <f>IF('04_DATA'!A549="","",'04_DATA'!A549)</f>
        <v/>
      </c>
      <c r="C552" s="55">
        <f>IF('04_DATA'!A549="","",IF(AND('04_DATA'!G549=1,'04_DATA'!H549=1,'04_DATA'!I549&gt;=3),"eligible","EXCLUDE"))</f>
        <v/>
      </c>
      <c r="D552" s="55">
        <f>IF('04_DATA'!A549="","",37-COUNT('04_DATA'!$K549:$AU549))</f>
        <v/>
      </c>
      <c r="E552" s="63">
        <f>IF('04_DATA'!A549="","",(37-COUNT('04_DATA'!$K549:$AU549))/37)</f>
        <v/>
      </c>
      <c r="F552" s="55">
        <f>IF('04_DATA'!A549="","",IF(AND(COUNT('04_DATA'!$K549:$AU549)=37,COUNTIF('04_DATA'!$K549:$AU549,INDEX('04_DATA'!$K549:$AU549,1))=37),"EXCLUDE","ok"))</f>
        <v/>
      </c>
      <c r="G552" s="55">
        <f>IF('04_DATA'!A549="","",IF('04_DATA'!D549&lt;PERCENTILE('04_DATA'!$D$2:$D$1001,0.05),"FLAG","ok"))</f>
        <v/>
      </c>
      <c r="H552" s="55">
        <f>IF('04_DATA'!A549="","",IF(OR(C552="EXCLUDE",F552="EXCLUDE"),"Exclude under pre-specified rule",IF(E552&gt;0.15,"Exclude: &gt;15% missing",IF(G552="FLAG","Retain; test in robustness battery","Retain"))))</f>
        <v/>
      </c>
    </row>
    <row r="553">
      <c r="A553" s="55" t="n">
        <v>550</v>
      </c>
      <c r="B553" s="55">
        <f>IF('04_DATA'!A550="","",'04_DATA'!A550)</f>
        <v/>
      </c>
      <c r="C553" s="55">
        <f>IF('04_DATA'!A550="","",IF(AND('04_DATA'!G550=1,'04_DATA'!H550=1,'04_DATA'!I550&gt;=3),"eligible","EXCLUDE"))</f>
        <v/>
      </c>
      <c r="D553" s="55">
        <f>IF('04_DATA'!A550="","",37-COUNT('04_DATA'!$K550:$AU550))</f>
        <v/>
      </c>
      <c r="E553" s="63">
        <f>IF('04_DATA'!A550="","",(37-COUNT('04_DATA'!$K550:$AU550))/37)</f>
        <v/>
      </c>
      <c r="F553" s="55">
        <f>IF('04_DATA'!A550="","",IF(AND(COUNT('04_DATA'!$K550:$AU550)=37,COUNTIF('04_DATA'!$K550:$AU550,INDEX('04_DATA'!$K550:$AU550,1))=37),"EXCLUDE","ok"))</f>
        <v/>
      </c>
      <c r="G553" s="55">
        <f>IF('04_DATA'!A550="","",IF('04_DATA'!D550&lt;PERCENTILE('04_DATA'!$D$2:$D$1001,0.05),"FLAG","ok"))</f>
        <v/>
      </c>
      <c r="H553" s="55">
        <f>IF('04_DATA'!A550="","",IF(OR(C553="EXCLUDE",F553="EXCLUDE"),"Exclude under pre-specified rule",IF(E553&gt;0.15,"Exclude: &gt;15% missing",IF(G553="FLAG","Retain; test in robustness battery","Retain"))))</f>
        <v/>
      </c>
    </row>
    <row r="554">
      <c r="A554" s="55" t="n">
        <v>551</v>
      </c>
      <c r="B554" s="55">
        <f>IF('04_DATA'!A551="","",'04_DATA'!A551)</f>
        <v/>
      </c>
      <c r="C554" s="55">
        <f>IF('04_DATA'!A551="","",IF(AND('04_DATA'!G551=1,'04_DATA'!H551=1,'04_DATA'!I551&gt;=3),"eligible","EXCLUDE"))</f>
        <v/>
      </c>
      <c r="D554" s="55">
        <f>IF('04_DATA'!A551="","",37-COUNT('04_DATA'!$K551:$AU551))</f>
        <v/>
      </c>
      <c r="E554" s="63">
        <f>IF('04_DATA'!A551="","",(37-COUNT('04_DATA'!$K551:$AU551))/37)</f>
        <v/>
      </c>
      <c r="F554" s="55">
        <f>IF('04_DATA'!A551="","",IF(AND(COUNT('04_DATA'!$K551:$AU551)=37,COUNTIF('04_DATA'!$K551:$AU551,INDEX('04_DATA'!$K551:$AU551,1))=37),"EXCLUDE","ok"))</f>
        <v/>
      </c>
      <c r="G554" s="55">
        <f>IF('04_DATA'!A551="","",IF('04_DATA'!D551&lt;PERCENTILE('04_DATA'!$D$2:$D$1001,0.05),"FLAG","ok"))</f>
        <v/>
      </c>
      <c r="H554" s="55">
        <f>IF('04_DATA'!A551="","",IF(OR(C554="EXCLUDE",F554="EXCLUDE"),"Exclude under pre-specified rule",IF(E554&gt;0.15,"Exclude: &gt;15% missing",IF(G554="FLAG","Retain; test in robustness battery","Retain"))))</f>
        <v/>
      </c>
    </row>
    <row r="555">
      <c r="A555" s="55" t="n">
        <v>552</v>
      </c>
      <c r="B555" s="55">
        <f>IF('04_DATA'!A552="","",'04_DATA'!A552)</f>
        <v/>
      </c>
      <c r="C555" s="55">
        <f>IF('04_DATA'!A552="","",IF(AND('04_DATA'!G552=1,'04_DATA'!H552=1,'04_DATA'!I552&gt;=3),"eligible","EXCLUDE"))</f>
        <v/>
      </c>
      <c r="D555" s="55">
        <f>IF('04_DATA'!A552="","",37-COUNT('04_DATA'!$K552:$AU552))</f>
        <v/>
      </c>
      <c r="E555" s="63">
        <f>IF('04_DATA'!A552="","",(37-COUNT('04_DATA'!$K552:$AU552))/37)</f>
        <v/>
      </c>
      <c r="F555" s="55">
        <f>IF('04_DATA'!A552="","",IF(AND(COUNT('04_DATA'!$K552:$AU552)=37,COUNTIF('04_DATA'!$K552:$AU552,INDEX('04_DATA'!$K552:$AU552,1))=37),"EXCLUDE","ok"))</f>
        <v/>
      </c>
      <c r="G555" s="55">
        <f>IF('04_DATA'!A552="","",IF('04_DATA'!D552&lt;PERCENTILE('04_DATA'!$D$2:$D$1001,0.05),"FLAG","ok"))</f>
        <v/>
      </c>
      <c r="H555" s="55">
        <f>IF('04_DATA'!A552="","",IF(OR(C555="EXCLUDE",F555="EXCLUDE"),"Exclude under pre-specified rule",IF(E555&gt;0.15,"Exclude: &gt;15% missing",IF(G555="FLAG","Retain; test in robustness battery","Retain"))))</f>
        <v/>
      </c>
    </row>
    <row r="556">
      <c r="A556" s="55" t="n">
        <v>553</v>
      </c>
      <c r="B556" s="55">
        <f>IF('04_DATA'!A553="","",'04_DATA'!A553)</f>
        <v/>
      </c>
      <c r="C556" s="55">
        <f>IF('04_DATA'!A553="","",IF(AND('04_DATA'!G553=1,'04_DATA'!H553=1,'04_DATA'!I553&gt;=3),"eligible","EXCLUDE"))</f>
        <v/>
      </c>
      <c r="D556" s="55">
        <f>IF('04_DATA'!A553="","",37-COUNT('04_DATA'!$K553:$AU553))</f>
        <v/>
      </c>
      <c r="E556" s="63">
        <f>IF('04_DATA'!A553="","",(37-COUNT('04_DATA'!$K553:$AU553))/37)</f>
        <v/>
      </c>
      <c r="F556" s="55">
        <f>IF('04_DATA'!A553="","",IF(AND(COUNT('04_DATA'!$K553:$AU553)=37,COUNTIF('04_DATA'!$K553:$AU553,INDEX('04_DATA'!$K553:$AU553,1))=37),"EXCLUDE","ok"))</f>
        <v/>
      </c>
      <c r="G556" s="55">
        <f>IF('04_DATA'!A553="","",IF('04_DATA'!D553&lt;PERCENTILE('04_DATA'!$D$2:$D$1001,0.05),"FLAG","ok"))</f>
        <v/>
      </c>
      <c r="H556" s="55">
        <f>IF('04_DATA'!A553="","",IF(OR(C556="EXCLUDE",F556="EXCLUDE"),"Exclude under pre-specified rule",IF(E556&gt;0.15,"Exclude: &gt;15% missing",IF(G556="FLAG","Retain; test in robustness battery","Retain"))))</f>
        <v/>
      </c>
    </row>
    <row r="557">
      <c r="A557" s="55" t="n">
        <v>554</v>
      </c>
      <c r="B557" s="55">
        <f>IF('04_DATA'!A554="","",'04_DATA'!A554)</f>
        <v/>
      </c>
      <c r="C557" s="55">
        <f>IF('04_DATA'!A554="","",IF(AND('04_DATA'!G554=1,'04_DATA'!H554=1,'04_DATA'!I554&gt;=3),"eligible","EXCLUDE"))</f>
        <v/>
      </c>
      <c r="D557" s="55">
        <f>IF('04_DATA'!A554="","",37-COUNT('04_DATA'!$K554:$AU554))</f>
        <v/>
      </c>
      <c r="E557" s="63">
        <f>IF('04_DATA'!A554="","",(37-COUNT('04_DATA'!$K554:$AU554))/37)</f>
        <v/>
      </c>
      <c r="F557" s="55">
        <f>IF('04_DATA'!A554="","",IF(AND(COUNT('04_DATA'!$K554:$AU554)=37,COUNTIF('04_DATA'!$K554:$AU554,INDEX('04_DATA'!$K554:$AU554,1))=37),"EXCLUDE","ok"))</f>
        <v/>
      </c>
      <c r="G557" s="55">
        <f>IF('04_DATA'!A554="","",IF('04_DATA'!D554&lt;PERCENTILE('04_DATA'!$D$2:$D$1001,0.05),"FLAG","ok"))</f>
        <v/>
      </c>
      <c r="H557" s="55">
        <f>IF('04_DATA'!A554="","",IF(OR(C557="EXCLUDE",F557="EXCLUDE"),"Exclude under pre-specified rule",IF(E557&gt;0.15,"Exclude: &gt;15% missing",IF(G557="FLAG","Retain; test in robustness battery","Retain"))))</f>
        <v/>
      </c>
    </row>
    <row r="558">
      <c r="A558" s="55" t="n">
        <v>555</v>
      </c>
      <c r="B558" s="55">
        <f>IF('04_DATA'!A555="","",'04_DATA'!A555)</f>
        <v/>
      </c>
      <c r="C558" s="55">
        <f>IF('04_DATA'!A555="","",IF(AND('04_DATA'!G555=1,'04_DATA'!H555=1,'04_DATA'!I555&gt;=3),"eligible","EXCLUDE"))</f>
        <v/>
      </c>
      <c r="D558" s="55">
        <f>IF('04_DATA'!A555="","",37-COUNT('04_DATA'!$K555:$AU555))</f>
        <v/>
      </c>
      <c r="E558" s="63">
        <f>IF('04_DATA'!A555="","",(37-COUNT('04_DATA'!$K555:$AU555))/37)</f>
        <v/>
      </c>
      <c r="F558" s="55">
        <f>IF('04_DATA'!A555="","",IF(AND(COUNT('04_DATA'!$K555:$AU555)=37,COUNTIF('04_DATA'!$K555:$AU555,INDEX('04_DATA'!$K555:$AU555,1))=37),"EXCLUDE","ok"))</f>
        <v/>
      </c>
      <c r="G558" s="55">
        <f>IF('04_DATA'!A555="","",IF('04_DATA'!D555&lt;PERCENTILE('04_DATA'!$D$2:$D$1001,0.05),"FLAG","ok"))</f>
        <v/>
      </c>
      <c r="H558" s="55">
        <f>IF('04_DATA'!A555="","",IF(OR(C558="EXCLUDE",F558="EXCLUDE"),"Exclude under pre-specified rule",IF(E558&gt;0.15,"Exclude: &gt;15% missing",IF(G558="FLAG","Retain; test in robustness battery","Retain"))))</f>
        <v/>
      </c>
    </row>
    <row r="559">
      <c r="A559" s="55" t="n">
        <v>556</v>
      </c>
      <c r="B559" s="55">
        <f>IF('04_DATA'!A556="","",'04_DATA'!A556)</f>
        <v/>
      </c>
      <c r="C559" s="55">
        <f>IF('04_DATA'!A556="","",IF(AND('04_DATA'!G556=1,'04_DATA'!H556=1,'04_DATA'!I556&gt;=3),"eligible","EXCLUDE"))</f>
        <v/>
      </c>
      <c r="D559" s="55">
        <f>IF('04_DATA'!A556="","",37-COUNT('04_DATA'!$K556:$AU556))</f>
        <v/>
      </c>
      <c r="E559" s="63">
        <f>IF('04_DATA'!A556="","",(37-COUNT('04_DATA'!$K556:$AU556))/37)</f>
        <v/>
      </c>
      <c r="F559" s="55">
        <f>IF('04_DATA'!A556="","",IF(AND(COUNT('04_DATA'!$K556:$AU556)=37,COUNTIF('04_DATA'!$K556:$AU556,INDEX('04_DATA'!$K556:$AU556,1))=37),"EXCLUDE","ok"))</f>
        <v/>
      </c>
      <c r="G559" s="55">
        <f>IF('04_DATA'!A556="","",IF('04_DATA'!D556&lt;PERCENTILE('04_DATA'!$D$2:$D$1001,0.05),"FLAG","ok"))</f>
        <v/>
      </c>
      <c r="H559" s="55">
        <f>IF('04_DATA'!A556="","",IF(OR(C559="EXCLUDE",F559="EXCLUDE"),"Exclude under pre-specified rule",IF(E559&gt;0.15,"Exclude: &gt;15% missing",IF(G559="FLAG","Retain; test in robustness battery","Retain"))))</f>
        <v/>
      </c>
    </row>
    <row r="560">
      <c r="A560" s="55" t="n">
        <v>557</v>
      </c>
      <c r="B560" s="55">
        <f>IF('04_DATA'!A557="","",'04_DATA'!A557)</f>
        <v/>
      </c>
      <c r="C560" s="55">
        <f>IF('04_DATA'!A557="","",IF(AND('04_DATA'!G557=1,'04_DATA'!H557=1,'04_DATA'!I557&gt;=3),"eligible","EXCLUDE"))</f>
        <v/>
      </c>
      <c r="D560" s="55">
        <f>IF('04_DATA'!A557="","",37-COUNT('04_DATA'!$K557:$AU557))</f>
        <v/>
      </c>
      <c r="E560" s="63">
        <f>IF('04_DATA'!A557="","",(37-COUNT('04_DATA'!$K557:$AU557))/37)</f>
        <v/>
      </c>
      <c r="F560" s="55">
        <f>IF('04_DATA'!A557="","",IF(AND(COUNT('04_DATA'!$K557:$AU557)=37,COUNTIF('04_DATA'!$K557:$AU557,INDEX('04_DATA'!$K557:$AU557,1))=37),"EXCLUDE","ok"))</f>
        <v/>
      </c>
      <c r="G560" s="55">
        <f>IF('04_DATA'!A557="","",IF('04_DATA'!D557&lt;PERCENTILE('04_DATA'!$D$2:$D$1001,0.05),"FLAG","ok"))</f>
        <v/>
      </c>
      <c r="H560" s="55">
        <f>IF('04_DATA'!A557="","",IF(OR(C560="EXCLUDE",F560="EXCLUDE"),"Exclude under pre-specified rule",IF(E560&gt;0.15,"Exclude: &gt;15% missing",IF(G560="FLAG","Retain; test in robustness battery","Retain"))))</f>
        <v/>
      </c>
    </row>
    <row r="561">
      <c r="A561" s="55" t="n">
        <v>558</v>
      </c>
      <c r="B561" s="55">
        <f>IF('04_DATA'!A558="","",'04_DATA'!A558)</f>
        <v/>
      </c>
      <c r="C561" s="55">
        <f>IF('04_DATA'!A558="","",IF(AND('04_DATA'!G558=1,'04_DATA'!H558=1,'04_DATA'!I558&gt;=3),"eligible","EXCLUDE"))</f>
        <v/>
      </c>
      <c r="D561" s="55">
        <f>IF('04_DATA'!A558="","",37-COUNT('04_DATA'!$K558:$AU558))</f>
        <v/>
      </c>
      <c r="E561" s="63">
        <f>IF('04_DATA'!A558="","",(37-COUNT('04_DATA'!$K558:$AU558))/37)</f>
        <v/>
      </c>
      <c r="F561" s="55">
        <f>IF('04_DATA'!A558="","",IF(AND(COUNT('04_DATA'!$K558:$AU558)=37,COUNTIF('04_DATA'!$K558:$AU558,INDEX('04_DATA'!$K558:$AU558,1))=37),"EXCLUDE","ok"))</f>
        <v/>
      </c>
      <c r="G561" s="55">
        <f>IF('04_DATA'!A558="","",IF('04_DATA'!D558&lt;PERCENTILE('04_DATA'!$D$2:$D$1001,0.05),"FLAG","ok"))</f>
        <v/>
      </c>
      <c r="H561" s="55">
        <f>IF('04_DATA'!A558="","",IF(OR(C561="EXCLUDE",F561="EXCLUDE"),"Exclude under pre-specified rule",IF(E561&gt;0.15,"Exclude: &gt;15% missing",IF(G561="FLAG","Retain; test in robustness battery","Retain"))))</f>
        <v/>
      </c>
    </row>
    <row r="562">
      <c r="A562" s="55" t="n">
        <v>559</v>
      </c>
      <c r="B562" s="55">
        <f>IF('04_DATA'!A559="","",'04_DATA'!A559)</f>
        <v/>
      </c>
      <c r="C562" s="55">
        <f>IF('04_DATA'!A559="","",IF(AND('04_DATA'!G559=1,'04_DATA'!H559=1,'04_DATA'!I559&gt;=3),"eligible","EXCLUDE"))</f>
        <v/>
      </c>
      <c r="D562" s="55">
        <f>IF('04_DATA'!A559="","",37-COUNT('04_DATA'!$K559:$AU559))</f>
        <v/>
      </c>
      <c r="E562" s="63">
        <f>IF('04_DATA'!A559="","",(37-COUNT('04_DATA'!$K559:$AU559))/37)</f>
        <v/>
      </c>
      <c r="F562" s="55">
        <f>IF('04_DATA'!A559="","",IF(AND(COUNT('04_DATA'!$K559:$AU559)=37,COUNTIF('04_DATA'!$K559:$AU559,INDEX('04_DATA'!$K559:$AU559,1))=37),"EXCLUDE","ok"))</f>
        <v/>
      </c>
      <c r="G562" s="55">
        <f>IF('04_DATA'!A559="","",IF('04_DATA'!D559&lt;PERCENTILE('04_DATA'!$D$2:$D$1001,0.05),"FLAG","ok"))</f>
        <v/>
      </c>
      <c r="H562" s="55">
        <f>IF('04_DATA'!A559="","",IF(OR(C562="EXCLUDE",F562="EXCLUDE"),"Exclude under pre-specified rule",IF(E562&gt;0.15,"Exclude: &gt;15% missing",IF(G562="FLAG","Retain; test in robustness battery","Retain"))))</f>
        <v/>
      </c>
    </row>
    <row r="563">
      <c r="A563" s="55" t="n">
        <v>560</v>
      </c>
      <c r="B563" s="55">
        <f>IF('04_DATA'!A560="","",'04_DATA'!A560)</f>
        <v/>
      </c>
      <c r="C563" s="55">
        <f>IF('04_DATA'!A560="","",IF(AND('04_DATA'!G560=1,'04_DATA'!H560=1,'04_DATA'!I560&gt;=3),"eligible","EXCLUDE"))</f>
        <v/>
      </c>
      <c r="D563" s="55">
        <f>IF('04_DATA'!A560="","",37-COUNT('04_DATA'!$K560:$AU560))</f>
        <v/>
      </c>
      <c r="E563" s="63">
        <f>IF('04_DATA'!A560="","",(37-COUNT('04_DATA'!$K560:$AU560))/37)</f>
        <v/>
      </c>
      <c r="F563" s="55">
        <f>IF('04_DATA'!A560="","",IF(AND(COUNT('04_DATA'!$K560:$AU560)=37,COUNTIF('04_DATA'!$K560:$AU560,INDEX('04_DATA'!$K560:$AU560,1))=37),"EXCLUDE","ok"))</f>
        <v/>
      </c>
      <c r="G563" s="55">
        <f>IF('04_DATA'!A560="","",IF('04_DATA'!D560&lt;PERCENTILE('04_DATA'!$D$2:$D$1001,0.05),"FLAG","ok"))</f>
        <v/>
      </c>
      <c r="H563" s="55">
        <f>IF('04_DATA'!A560="","",IF(OR(C563="EXCLUDE",F563="EXCLUDE"),"Exclude under pre-specified rule",IF(E563&gt;0.15,"Exclude: &gt;15% missing",IF(G563="FLAG","Retain; test in robustness battery","Retain"))))</f>
        <v/>
      </c>
    </row>
    <row r="564">
      <c r="A564" s="55" t="n">
        <v>561</v>
      </c>
      <c r="B564" s="55">
        <f>IF('04_DATA'!A561="","",'04_DATA'!A561)</f>
        <v/>
      </c>
      <c r="C564" s="55">
        <f>IF('04_DATA'!A561="","",IF(AND('04_DATA'!G561=1,'04_DATA'!H561=1,'04_DATA'!I561&gt;=3),"eligible","EXCLUDE"))</f>
        <v/>
      </c>
      <c r="D564" s="55">
        <f>IF('04_DATA'!A561="","",37-COUNT('04_DATA'!$K561:$AU561))</f>
        <v/>
      </c>
      <c r="E564" s="63">
        <f>IF('04_DATA'!A561="","",(37-COUNT('04_DATA'!$K561:$AU561))/37)</f>
        <v/>
      </c>
      <c r="F564" s="55">
        <f>IF('04_DATA'!A561="","",IF(AND(COUNT('04_DATA'!$K561:$AU561)=37,COUNTIF('04_DATA'!$K561:$AU561,INDEX('04_DATA'!$K561:$AU561,1))=37),"EXCLUDE","ok"))</f>
        <v/>
      </c>
      <c r="G564" s="55">
        <f>IF('04_DATA'!A561="","",IF('04_DATA'!D561&lt;PERCENTILE('04_DATA'!$D$2:$D$1001,0.05),"FLAG","ok"))</f>
        <v/>
      </c>
      <c r="H564" s="55">
        <f>IF('04_DATA'!A561="","",IF(OR(C564="EXCLUDE",F564="EXCLUDE"),"Exclude under pre-specified rule",IF(E564&gt;0.15,"Exclude: &gt;15% missing",IF(G564="FLAG","Retain; test in robustness battery","Retain"))))</f>
        <v/>
      </c>
    </row>
    <row r="565">
      <c r="A565" s="55" t="n">
        <v>562</v>
      </c>
      <c r="B565" s="55">
        <f>IF('04_DATA'!A562="","",'04_DATA'!A562)</f>
        <v/>
      </c>
      <c r="C565" s="55">
        <f>IF('04_DATA'!A562="","",IF(AND('04_DATA'!G562=1,'04_DATA'!H562=1,'04_DATA'!I562&gt;=3),"eligible","EXCLUDE"))</f>
        <v/>
      </c>
      <c r="D565" s="55">
        <f>IF('04_DATA'!A562="","",37-COUNT('04_DATA'!$K562:$AU562))</f>
        <v/>
      </c>
      <c r="E565" s="63">
        <f>IF('04_DATA'!A562="","",(37-COUNT('04_DATA'!$K562:$AU562))/37)</f>
        <v/>
      </c>
      <c r="F565" s="55">
        <f>IF('04_DATA'!A562="","",IF(AND(COUNT('04_DATA'!$K562:$AU562)=37,COUNTIF('04_DATA'!$K562:$AU562,INDEX('04_DATA'!$K562:$AU562,1))=37),"EXCLUDE","ok"))</f>
        <v/>
      </c>
      <c r="G565" s="55">
        <f>IF('04_DATA'!A562="","",IF('04_DATA'!D562&lt;PERCENTILE('04_DATA'!$D$2:$D$1001,0.05),"FLAG","ok"))</f>
        <v/>
      </c>
      <c r="H565" s="55">
        <f>IF('04_DATA'!A562="","",IF(OR(C565="EXCLUDE",F565="EXCLUDE"),"Exclude under pre-specified rule",IF(E565&gt;0.15,"Exclude: &gt;15% missing",IF(G565="FLAG","Retain; test in robustness battery","Retain"))))</f>
        <v/>
      </c>
    </row>
    <row r="566">
      <c r="A566" s="55" t="n">
        <v>563</v>
      </c>
      <c r="B566" s="55">
        <f>IF('04_DATA'!A563="","",'04_DATA'!A563)</f>
        <v/>
      </c>
      <c r="C566" s="55">
        <f>IF('04_DATA'!A563="","",IF(AND('04_DATA'!G563=1,'04_DATA'!H563=1,'04_DATA'!I563&gt;=3),"eligible","EXCLUDE"))</f>
        <v/>
      </c>
      <c r="D566" s="55">
        <f>IF('04_DATA'!A563="","",37-COUNT('04_DATA'!$K563:$AU563))</f>
        <v/>
      </c>
      <c r="E566" s="63">
        <f>IF('04_DATA'!A563="","",(37-COUNT('04_DATA'!$K563:$AU563))/37)</f>
        <v/>
      </c>
      <c r="F566" s="55">
        <f>IF('04_DATA'!A563="","",IF(AND(COUNT('04_DATA'!$K563:$AU563)=37,COUNTIF('04_DATA'!$K563:$AU563,INDEX('04_DATA'!$K563:$AU563,1))=37),"EXCLUDE","ok"))</f>
        <v/>
      </c>
      <c r="G566" s="55">
        <f>IF('04_DATA'!A563="","",IF('04_DATA'!D563&lt;PERCENTILE('04_DATA'!$D$2:$D$1001,0.05),"FLAG","ok"))</f>
        <v/>
      </c>
      <c r="H566" s="55">
        <f>IF('04_DATA'!A563="","",IF(OR(C566="EXCLUDE",F566="EXCLUDE"),"Exclude under pre-specified rule",IF(E566&gt;0.15,"Exclude: &gt;15% missing",IF(G566="FLAG","Retain; test in robustness battery","Retain"))))</f>
        <v/>
      </c>
    </row>
    <row r="567">
      <c r="A567" s="55" t="n">
        <v>564</v>
      </c>
      <c r="B567" s="55">
        <f>IF('04_DATA'!A564="","",'04_DATA'!A564)</f>
        <v/>
      </c>
      <c r="C567" s="55">
        <f>IF('04_DATA'!A564="","",IF(AND('04_DATA'!G564=1,'04_DATA'!H564=1,'04_DATA'!I564&gt;=3),"eligible","EXCLUDE"))</f>
        <v/>
      </c>
      <c r="D567" s="55">
        <f>IF('04_DATA'!A564="","",37-COUNT('04_DATA'!$K564:$AU564))</f>
        <v/>
      </c>
      <c r="E567" s="63">
        <f>IF('04_DATA'!A564="","",(37-COUNT('04_DATA'!$K564:$AU564))/37)</f>
        <v/>
      </c>
      <c r="F567" s="55">
        <f>IF('04_DATA'!A564="","",IF(AND(COUNT('04_DATA'!$K564:$AU564)=37,COUNTIF('04_DATA'!$K564:$AU564,INDEX('04_DATA'!$K564:$AU564,1))=37),"EXCLUDE","ok"))</f>
        <v/>
      </c>
      <c r="G567" s="55">
        <f>IF('04_DATA'!A564="","",IF('04_DATA'!D564&lt;PERCENTILE('04_DATA'!$D$2:$D$1001,0.05),"FLAG","ok"))</f>
        <v/>
      </c>
      <c r="H567" s="55">
        <f>IF('04_DATA'!A564="","",IF(OR(C567="EXCLUDE",F567="EXCLUDE"),"Exclude under pre-specified rule",IF(E567&gt;0.15,"Exclude: &gt;15% missing",IF(G567="FLAG","Retain; test in robustness battery","Retain"))))</f>
        <v/>
      </c>
    </row>
    <row r="568">
      <c r="A568" s="55" t="n">
        <v>565</v>
      </c>
      <c r="B568" s="55">
        <f>IF('04_DATA'!A565="","",'04_DATA'!A565)</f>
        <v/>
      </c>
      <c r="C568" s="55">
        <f>IF('04_DATA'!A565="","",IF(AND('04_DATA'!G565=1,'04_DATA'!H565=1,'04_DATA'!I565&gt;=3),"eligible","EXCLUDE"))</f>
        <v/>
      </c>
      <c r="D568" s="55">
        <f>IF('04_DATA'!A565="","",37-COUNT('04_DATA'!$K565:$AU565))</f>
        <v/>
      </c>
      <c r="E568" s="63">
        <f>IF('04_DATA'!A565="","",(37-COUNT('04_DATA'!$K565:$AU565))/37)</f>
        <v/>
      </c>
      <c r="F568" s="55">
        <f>IF('04_DATA'!A565="","",IF(AND(COUNT('04_DATA'!$K565:$AU565)=37,COUNTIF('04_DATA'!$K565:$AU565,INDEX('04_DATA'!$K565:$AU565,1))=37),"EXCLUDE","ok"))</f>
        <v/>
      </c>
      <c r="G568" s="55">
        <f>IF('04_DATA'!A565="","",IF('04_DATA'!D565&lt;PERCENTILE('04_DATA'!$D$2:$D$1001,0.05),"FLAG","ok"))</f>
        <v/>
      </c>
      <c r="H568" s="55">
        <f>IF('04_DATA'!A565="","",IF(OR(C568="EXCLUDE",F568="EXCLUDE"),"Exclude under pre-specified rule",IF(E568&gt;0.15,"Exclude: &gt;15% missing",IF(G568="FLAG","Retain; test in robustness battery","Retain"))))</f>
        <v/>
      </c>
    </row>
    <row r="569">
      <c r="A569" s="55" t="n">
        <v>566</v>
      </c>
      <c r="B569" s="55">
        <f>IF('04_DATA'!A566="","",'04_DATA'!A566)</f>
        <v/>
      </c>
      <c r="C569" s="55">
        <f>IF('04_DATA'!A566="","",IF(AND('04_DATA'!G566=1,'04_DATA'!H566=1,'04_DATA'!I566&gt;=3),"eligible","EXCLUDE"))</f>
        <v/>
      </c>
      <c r="D569" s="55">
        <f>IF('04_DATA'!A566="","",37-COUNT('04_DATA'!$K566:$AU566))</f>
        <v/>
      </c>
      <c r="E569" s="63">
        <f>IF('04_DATA'!A566="","",(37-COUNT('04_DATA'!$K566:$AU566))/37)</f>
        <v/>
      </c>
      <c r="F569" s="55">
        <f>IF('04_DATA'!A566="","",IF(AND(COUNT('04_DATA'!$K566:$AU566)=37,COUNTIF('04_DATA'!$K566:$AU566,INDEX('04_DATA'!$K566:$AU566,1))=37),"EXCLUDE","ok"))</f>
        <v/>
      </c>
      <c r="G569" s="55">
        <f>IF('04_DATA'!A566="","",IF('04_DATA'!D566&lt;PERCENTILE('04_DATA'!$D$2:$D$1001,0.05),"FLAG","ok"))</f>
        <v/>
      </c>
      <c r="H569" s="55">
        <f>IF('04_DATA'!A566="","",IF(OR(C569="EXCLUDE",F569="EXCLUDE"),"Exclude under pre-specified rule",IF(E569&gt;0.15,"Exclude: &gt;15% missing",IF(G569="FLAG","Retain; test in robustness battery","Retain"))))</f>
        <v/>
      </c>
    </row>
    <row r="570">
      <c r="A570" s="55" t="n">
        <v>567</v>
      </c>
      <c r="B570" s="55">
        <f>IF('04_DATA'!A567="","",'04_DATA'!A567)</f>
        <v/>
      </c>
      <c r="C570" s="55">
        <f>IF('04_DATA'!A567="","",IF(AND('04_DATA'!G567=1,'04_DATA'!H567=1,'04_DATA'!I567&gt;=3),"eligible","EXCLUDE"))</f>
        <v/>
      </c>
      <c r="D570" s="55">
        <f>IF('04_DATA'!A567="","",37-COUNT('04_DATA'!$K567:$AU567))</f>
        <v/>
      </c>
      <c r="E570" s="63">
        <f>IF('04_DATA'!A567="","",(37-COUNT('04_DATA'!$K567:$AU567))/37)</f>
        <v/>
      </c>
      <c r="F570" s="55">
        <f>IF('04_DATA'!A567="","",IF(AND(COUNT('04_DATA'!$K567:$AU567)=37,COUNTIF('04_DATA'!$K567:$AU567,INDEX('04_DATA'!$K567:$AU567,1))=37),"EXCLUDE","ok"))</f>
        <v/>
      </c>
      <c r="G570" s="55">
        <f>IF('04_DATA'!A567="","",IF('04_DATA'!D567&lt;PERCENTILE('04_DATA'!$D$2:$D$1001,0.05),"FLAG","ok"))</f>
        <v/>
      </c>
      <c r="H570" s="55">
        <f>IF('04_DATA'!A567="","",IF(OR(C570="EXCLUDE",F570="EXCLUDE"),"Exclude under pre-specified rule",IF(E570&gt;0.15,"Exclude: &gt;15% missing",IF(G570="FLAG","Retain; test in robustness battery","Retain"))))</f>
        <v/>
      </c>
    </row>
    <row r="571">
      <c r="A571" s="55" t="n">
        <v>568</v>
      </c>
      <c r="B571" s="55">
        <f>IF('04_DATA'!A568="","",'04_DATA'!A568)</f>
        <v/>
      </c>
      <c r="C571" s="55">
        <f>IF('04_DATA'!A568="","",IF(AND('04_DATA'!G568=1,'04_DATA'!H568=1,'04_DATA'!I568&gt;=3),"eligible","EXCLUDE"))</f>
        <v/>
      </c>
      <c r="D571" s="55">
        <f>IF('04_DATA'!A568="","",37-COUNT('04_DATA'!$K568:$AU568))</f>
        <v/>
      </c>
      <c r="E571" s="63">
        <f>IF('04_DATA'!A568="","",(37-COUNT('04_DATA'!$K568:$AU568))/37)</f>
        <v/>
      </c>
      <c r="F571" s="55">
        <f>IF('04_DATA'!A568="","",IF(AND(COUNT('04_DATA'!$K568:$AU568)=37,COUNTIF('04_DATA'!$K568:$AU568,INDEX('04_DATA'!$K568:$AU568,1))=37),"EXCLUDE","ok"))</f>
        <v/>
      </c>
      <c r="G571" s="55">
        <f>IF('04_DATA'!A568="","",IF('04_DATA'!D568&lt;PERCENTILE('04_DATA'!$D$2:$D$1001,0.05),"FLAG","ok"))</f>
        <v/>
      </c>
      <c r="H571" s="55">
        <f>IF('04_DATA'!A568="","",IF(OR(C571="EXCLUDE",F571="EXCLUDE"),"Exclude under pre-specified rule",IF(E571&gt;0.15,"Exclude: &gt;15% missing",IF(G571="FLAG","Retain; test in robustness battery","Retain"))))</f>
        <v/>
      </c>
    </row>
    <row r="572">
      <c r="A572" s="55" t="n">
        <v>569</v>
      </c>
      <c r="B572" s="55">
        <f>IF('04_DATA'!A569="","",'04_DATA'!A569)</f>
        <v/>
      </c>
      <c r="C572" s="55">
        <f>IF('04_DATA'!A569="","",IF(AND('04_DATA'!G569=1,'04_DATA'!H569=1,'04_DATA'!I569&gt;=3),"eligible","EXCLUDE"))</f>
        <v/>
      </c>
      <c r="D572" s="55">
        <f>IF('04_DATA'!A569="","",37-COUNT('04_DATA'!$K569:$AU569))</f>
        <v/>
      </c>
      <c r="E572" s="63">
        <f>IF('04_DATA'!A569="","",(37-COUNT('04_DATA'!$K569:$AU569))/37)</f>
        <v/>
      </c>
      <c r="F572" s="55">
        <f>IF('04_DATA'!A569="","",IF(AND(COUNT('04_DATA'!$K569:$AU569)=37,COUNTIF('04_DATA'!$K569:$AU569,INDEX('04_DATA'!$K569:$AU569,1))=37),"EXCLUDE","ok"))</f>
        <v/>
      </c>
      <c r="G572" s="55">
        <f>IF('04_DATA'!A569="","",IF('04_DATA'!D569&lt;PERCENTILE('04_DATA'!$D$2:$D$1001,0.05),"FLAG","ok"))</f>
        <v/>
      </c>
      <c r="H572" s="55">
        <f>IF('04_DATA'!A569="","",IF(OR(C572="EXCLUDE",F572="EXCLUDE"),"Exclude under pre-specified rule",IF(E572&gt;0.15,"Exclude: &gt;15% missing",IF(G572="FLAG","Retain; test in robustness battery","Retain"))))</f>
        <v/>
      </c>
    </row>
    <row r="573">
      <c r="A573" s="55" t="n">
        <v>570</v>
      </c>
      <c r="B573" s="55">
        <f>IF('04_DATA'!A570="","",'04_DATA'!A570)</f>
        <v/>
      </c>
      <c r="C573" s="55">
        <f>IF('04_DATA'!A570="","",IF(AND('04_DATA'!G570=1,'04_DATA'!H570=1,'04_DATA'!I570&gt;=3),"eligible","EXCLUDE"))</f>
        <v/>
      </c>
      <c r="D573" s="55">
        <f>IF('04_DATA'!A570="","",37-COUNT('04_DATA'!$K570:$AU570))</f>
        <v/>
      </c>
      <c r="E573" s="63">
        <f>IF('04_DATA'!A570="","",(37-COUNT('04_DATA'!$K570:$AU570))/37)</f>
        <v/>
      </c>
      <c r="F573" s="55">
        <f>IF('04_DATA'!A570="","",IF(AND(COUNT('04_DATA'!$K570:$AU570)=37,COUNTIF('04_DATA'!$K570:$AU570,INDEX('04_DATA'!$K570:$AU570,1))=37),"EXCLUDE","ok"))</f>
        <v/>
      </c>
      <c r="G573" s="55">
        <f>IF('04_DATA'!A570="","",IF('04_DATA'!D570&lt;PERCENTILE('04_DATA'!$D$2:$D$1001,0.05),"FLAG","ok"))</f>
        <v/>
      </c>
      <c r="H573" s="55">
        <f>IF('04_DATA'!A570="","",IF(OR(C573="EXCLUDE",F573="EXCLUDE"),"Exclude under pre-specified rule",IF(E573&gt;0.15,"Exclude: &gt;15% missing",IF(G573="FLAG","Retain; test in robustness battery","Retain"))))</f>
        <v/>
      </c>
    </row>
    <row r="574">
      <c r="A574" s="55" t="n">
        <v>571</v>
      </c>
      <c r="B574" s="55">
        <f>IF('04_DATA'!A571="","",'04_DATA'!A571)</f>
        <v/>
      </c>
      <c r="C574" s="55">
        <f>IF('04_DATA'!A571="","",IF(AND('04_DATA'!G571=1,'04_DATA'!H571=1,'04_DATA'!I571&gt;=3),"eligible","EXCLUDE"))</f>
        <v/>
      </c>
      <c r="D574" s="55">
        <f>IF('04_DATA'!A571="","",37-COUNT('04_DATA'!$K571:$AU571))</f>
        <v/>
      </c>
      <c r="E574" s="63">
        <f>IF('04_DATA'!A571="","",(37-COUNT('04_DATA'!$K571:$AU571))/37)</f>
        <v/>
      </c>
      <c r="F574" s="55">
        <f>IF('04_DATA'!A571="","",IF(AND(COUNT('04_DATA'!$K571:$AU571)=37,COUNTIF('04_DATA'!$K571:$AU571,INDEX('04_DATA'!$K571:$AU571,1))=37),"EXCLUDE","ok"))</f>
        <v/>
      </c>
      <c r="G574" s="55">
        <f>IF('04_DATA'!A571="","",IF('04_DATA'!D571&lt;PERCENTILE('04_DATA'!$D$2:$D$1001,0.05),"FLAG","ok"))</f>
        <v/>
      </c>
      <c r="H574" s="55">
        <f>IF('04_DATA'!A571="","",IF(OR(C574="EXCLUDE",F574="EXCLUDE"),"Exclude under pre-specified rule",IF(E574&gt;0.15,"Exclude: &gt;15% missing",IF(G574="FLAG","Retain; test in robustness battery","Retain"))))</f>
        <v/>
      </c>
    </row>
    <row r="575">
      <c r="A575" s="55" t="n">
        <v>572</v>
      </c>
      <c r="B575" s="55">
        <f>IF('04_DATA'!A572="","",'04_DATA'!A572)</f>
        <v/>
      </c>
      <c r="C575" s="55">
        <f>IF('04_DATA'!A572="","",IF(AND('04_DATA'!G572=1,'04_DATA'!H572=1,'04_DATA'!I572&gt;=3),"eligible","EXCLUDE"))</f>
        <v/>
      </c>
      <c r="D575" s="55">
        <f>IF('04_DATA'!A572="","",37-COUNT('04_DATA'!$K572:$AU572))</f>
        <v/>
      </c>
      <c r="E575" s="63">
        <f>IF('04_DATA'!A572="","",(37-COUNT('04_DATA'!$K572:$AU572))/37)</f>
        <v/>
      </c>
      <c r="F575" s="55">
        <f>IF('04_DATA'!A572="","",IF(AND(COUNT('04_DATA'!$K572:$AU572)=37,COUNTIF('04_DATA'!$K572:$AU572,INDEX('04_DATA'!$K572:$AU572,1))=37),"EXCLUDE","ok"))</f>
        <v/>
      </c>
      <c r="G575" s="55">
        <f>IF('04_DATA'!A572="","",IF('04_DATA'!D572&lt;PERCENTILE('04_DATA'!$D$2:$D$1001,0.05),"FLAG","ok"))</f>
        <v/>
      </c>
      <c r="H575" s="55">
        <f>IF('04_DATA'!A572="","",IF(OR(C575="EXCLUDE",F575="EXCLUDE"),"Exclude under pre-specified rule",IF(E575&gt;0.15,"Exclude: &gt;15% missing",IF(G575="FLAG","Retain; test in robustness battery","Retain"))))</f>
        <v/>
      </c>
    </row>
    <row r="576">
      <c r="A576" s="55" t="n">
        <v>573</v>
      </c>
      <c r="B576" s="55">
        <f>IF('04_DATA'!A573="","",'04_DATA'!A573)</f>
        <v/>
      </c>
      <c r="C576" s="55">
        <f>IF('04_DATA'!A573="","",IF(AND('04_DATA'!G573=1,'04_DATA'!H573=1,'04_DATA'!I573&gt;=3),"eligible","EXCLUDE"))</f>
        <v/>
      </c>
      <c r="D576" s="55">
        <f>IF('04_DATA'!A573="","",37-COUNT('04_DATA'!$K573:$AU573))</f>
        <v/>
      </c>
      <c r="E576" s="63">
        <f>IF('04_DATA'!A573="","",(37-COUNT('04_DATA'!$K573:$AU573))/37)</f>
        <v/>
      </c>
      <c r="F576" s="55">
        <f>IF('04_DATA'!A573="","",IF(AND(COUNT('04_DATA'!$K573:$AU573)=37,COUNTIF('04_DATA'!$K573:$AU573,INDEX('04_DATA'!$K573:$AU573,1))=37),"EXCLUDE","ok"))</f>
        <v/>
      </c>
      <c r="G576" s="55">
        <f>IF('04_DATA'!A573="","",IF('04_DATA'!D573&lt;PERCENTILE('04_DATA'!$D$2:$D$1001,0.05),"FLAG","ok"))</f>
        <v/>
      </c>
      <c r="H576" s="55">
        <f>IF('04_DATA'!A573="","",IF(OR(C576="EXCLUDE",F576="EXCLUDE"),"Exclude under pre-specified rule",IF(E576&gt;0.15,"Exclude: &gt;15% missing",IF(G576="FLAG","Retain; test in robustness battery","Retain"))))</f>
        <v/>
      </c>
    </row>
    <row r="577">
      <c r="A577" s="55" t="n">
        <v>574</v>
      </c>
      <c r="B577" s="55">
        <f>IF('04_DATA'!A574="","",'04_DATA'!A574)</f>
        <v/>
      </c>
      <c r="C577" s="55">
        <f>IF('04_DATA'!A574="","",IF(AND('04_DATA'!G574=1,'04_DATA'!H574=1,'04_DATA'!I574&gt;=3),"eligible","EXCLUDE"))</f>
        <v/>
      </c>
      <c r="D577" s="55">
        <f>IF('04_DATA'!A574="","",37-COUNT('04_DATA'!$K574:$AU574))</f>
        <v/>
      </c>
      <c r="E577" s="63">
        <f>IF('04_DATA'!A574="","",(37-COUNT('04_DATA'!$K574:$AU574))/37)</f>
        <v/>
      </c>
      <c r="F577" s="55">
        <f>IF('04_DATA'!A574="","",IF(AND(COUNT('04_DATA'!$K574:$AU574)=37,COUNTIF('04_DATA'!$K574:$AU574,INDEX('04_DATA'!$K574:$AU574,1))=37),"EXCLUDE","ok"))</f>
        <v/>
      </c>
      <c r="G577" s="55">
        <f>IF('04_DATA'!A574="","",IF('04_DATA'!D574&lt;PERCENTILE('04_DATA'!$D$2:$D$1001,0.05),"FLAG","ok"))</f>
        <v/>
      </c>
      <c r="H577" s="55">
        <f>IF('04_DATA'!A574="","",IF(OR(C577="EXCLUDE",F577="EXCLUDE"),"Exclude under pre-specified rule",IF(E577&gt;0.15,"Exclude: &gt;15% missing",IF(G577="FLAG","Retain; test in robustness battery","Retain"))))</f>
        <v/>
      </c>
    </row>
    <row r="578">
      <c r="A578" s="55" t="n">
        <v>575</v>
      </c>
      <c r="B578" s="55">
        <f>IF('04_DATA'!A575="","",'04_DATA'!A575)</f>
        <v/>
      </c>
      <c r="C578" s="55">
        <f>IF('04_DATA'!A575="","",IF(AND('04_DATA'!G575=1,'04_DATA'!H575=1,'04_DATA'!I575&gt;=3),"eligible","EXCLUDE"))</f>
        <v/>
      </c>
      <c r="D578" s="55">
        <f>IF('04_DATA'!A575="","",37-COUNT('04_DATA'!$K575:$AU575))</f>
        <v/>
      </c>
      <c r="E578" s="63">
        <f>IF('04_DATA'!A575="","",(37-COUNT('04_DATA'!$K575:$AU575))/37)</f>
        <v/>
      </c>
      <c r="F578" s="55">
        <f>IF('04_DATA'!A575="","",IF(AND(COUNT('04_DATA'!$K575:$AU575)=37,COUNTIF('04_DATA'!$K575:$AU575,INDEX('04_DATA'!$K575:$AU575,1))=37),"EXCLUDE","ok"))</f>
        <v/>
      </c>
      <c r="G578" s="55">
        <f>IF('04_DATA'!A575="","",IF('04_DATA'!D575&lt;PERCENTILE('04_DATA'!$D$2:$D$1001,0.05),"FLAG","ok"))</f>
        <v/>
      </c>
      <c r="H578" s="55">
        <f>IF('04_DATA'!A575="","",IF(OR(C578="EXCLUDE",F578="EXCLUDE"),"Exclude under pre-specified rule",IF(E578&gt;0.15,"Exclude: &gt;15% missing",IF(G578="FLAG","Retain; test in robustness battery","Retain"))))</f>
        <v/>
      </c>
    </row>
    <row r="579">
      <c r="A579" s="55" t="n">
        <v>576</v>
      </c>
      <c r="B579" s="55">
        <f>IF('04_DATA'!A576="","",'04_DATA'!A576)</f>
        <v/>
      </c>
      <c r="C579" s="55">
        <f>IF('04_DATA'!A576="","",IF(AND('04_DATA'!G576=1,'04_DATA'!H576=1,'04_DATA'!I576&gt;=3),"eligible","EXCLUDE"))</f>
        <v/>
      </c>
      <c r="D579" s="55">
        <f>IF('04_DATA'!A576="","",37-COUNT('04_DATA'!$K576:$AU576))</f>
        <v/>
      </c>
      <c r="E579" s="63">
        <f>IF('04_DATA'!A576="","",(37-COUNT('04_DATA'!$K576:$AU576))/37)</f>
        <v/>
      </c>
      <c r="F579" s="55">
        <f>IF('04_DATA'!A576="","",IF(AND(COUNT('04_DATA'!$K576:$AU576)=37,COUNTIF('04_DATA'!$K576:$AU576,INDEX('04_DATA'!$K576:$AU576,1))=37),"EXCLUDE","ok"))</f>
        <v/>
      </c>
      <c r="G579" s="55">
        <f>IF('04_DATA'!A576="","",IF('04_DATA'!D576&lt;PERCENTILE('04_DATA'!$D$2:$D$1001,0.05),"FLAG","ok"))</f>
        <v/>
      </c>
      <c r="H579" s="55">
        <f>IF('04_DATA'!A576="","",IF(OR(C579="EXCLUDE",F579="EXCLUDE"),"Exclude under pre-specified rule",IF(E579&gt;0.15,"Exclude: &gt;15% missing",IF(G579="FLAG","Retain; test in robustness battery","Retain"))))</f>
        <v/>
      </c>
    </row>
    <row r="580">
      <c r="A580" s="55" t="n">
        <v>577</v>
      </c>
      <c r="B580" s="55">
        <f>IF('04_DATA'!A577="","",'04_DATA'!A577)</f>
        <v/>
      </c>
      <c r="C580" s="55">
        <f>IF('04_DATA'!A577="","",IF(AND('04_DATA'!G577=1,'04_DATA'!H577=1,'04_DATA'!I577&gt;=3),"eligible","EXCLUDE"))</f>
        <v/>
      </c>
      <c r="D580" s="55">
        <f>IF('04_DATA'!A577="","",37-COUNT('04_DATA'!$K577:$AU577))</f>
        <v/>
      </c>
      <c r="E580" s="63">
        <f>IF('04_DATA'!A577="","",(37-COUNT('04_DATA'!$K577:$AU577))/37)</f>
        <v/>
      </c>
      <c r="F580" s="55">
        <f>IF('04_DATA'!A577="","",IF(AND(COUNT('04_DATA'!$K577:$AU577)=37,COUNTIF('04_DATA'!$K577:$AU577,INDEX('04_DATA'!$K577:$AU577,1))=37),"EXCLUDE","ok"))</f>
        <v/>
      </c>
      <c r="G580" s="55">
        <f>IF('04_DATA'!A577="","",IF('04_DATA'!D577&lt;PERCENTILE('04_DATA'!$D$2:$D$1001,0.05),"FLAG","ok"))</f>
        <v/>
      </c>
      <c r="H580" s="55">
        <f>IF('04_DATA'!A577="","",IF(OR(C580="EXCLUDE",F580="EXCLUDE"),"Exclude under pre-specified rule",IF(E580&gt;0.15,"Exclude: &gt;15% missing",IF(G580="FLAG","Retain; test in robustness battery","Retain"))))</f>
        <v/>
      </c>
    </row>
    <row r="581">
      <c r="A581" s="55" t="n">
        <v>578</v>
      </c>
      <c r="B581" s="55">
        <f>IF('04_DATA'!A578="","",'04_DATA'!A578)</f>
        <v/>
      </c>
      <c r="C581" s="55">
        <f>IF('04_DATA'!A578="","",IF(AND('04_DATA'!G578=1,'04_DATA'!H578=1,'04_DATA'!I578&gt;=3),"eligible","EXCLUDE"))</f>
        <v/>
      </c>
      <c r="D581" s="55">
        <f>IF('04_DATA'!A578="","",37-COUNT('04_DATA'!$K578:$AU578))</f>
        <v/>
      </c>
      <c r="E581" s="63">
        <f>IF('04_DATA'!A578="","",(37-COUNT('04_DATA'!$K578:$AU578))/37)</f>
        <v/>
      </c>
      <c r="F581" s="55">
        <f>IF('04_DATA'!A578="","",IF(AND(COUNT('04_DATA'!$K578:$AU578)=37,COUNTIF('04_DATA'!$K578:$AU578,INDEX('04_DATA'!$K578:$AU578,1))=37),"EXCLUDE","ok"))</f>
        <v/>
      </c>
      <c r="G581" s="55">
        <f>IF('04_DATA'!A578="","",IF('04_DATA'!D578&lt;PERCENTILE('04_DATA'!$D$2:$D$1001,0.05),"FLAG","ok"))</f>
        <v/>
      </c>
      <c r="H581" s="55">
        <f>IF('04_DATA'!A578="","",IF(OR(C581="EXCLUDE",F581="EXCLUDE"),"Exclude under pre-specified rule",IF(E581&gt;0.15,"Exclude: &gt;15% missing",IF(G581="FLAG","Retain; test in robustness battery","Retain"))))</f>
        <v/>
      </c>
    </row>
    <row r="582">
      <c r="A582" s="55" t="n">
        <v>579</v>
      </c>
      <c r="B582" s="55">
        <f>IF('04_DATA'!A579="","",'04_DATA'!A579)</f>
        <v/>
      </c>
      <c r="C582" s="55">
        <f>IF('04_DATA'!A579="","",IF(AND('04_DATA'!G579=1,'04_DATA'!H579=1,'04_DATA'!I579&gt;=3),"eligible","EXCLUDE"))</f>
        <v/>
      </c>
      <c r="D582" s="55">
        <f>IF('04_DATA'!A579="","",37-COUNT('04_DATA'!$K579:$AU579))</f>
        <v/>
      </c>
      <c r="E582" s="63">
        <f>IF('04_DATA'!A579="","",(37-COUNT('04_DATA'!$K579:$AU579))/37)</f>
        <v/>
      </c>
      <c r="F582" s="55">
        <f>IF('04_DATA'!A579="","",IF(AND(COUNT('04_DATA'!$K579:$AU579)=37,COUNTIF('04_DATA'!$K579:$AU579,INDEX('04_DATA'!$K579:$AU579,1))=37),"EXCLUDE","ok"))</f>
        <v/>
      </c>
      <c r="G582" s="55">
        <f>IF('04_DATA'!A579="","",IF('04_DATA'!D579&lt;PERCENTILE('04_DATA'!$D$2:$D$1001,0.05),"FLAG","ok"))</f>
        <v/>
      </c>
      <c r="H582" s="55">
        <f>IF('04_DATA'!A579="","",IF(OR(C582="EXCLUDE",F582="EXCLUDE"),"Exclude under pre-specified rule",IF(E582&gt;0.15,"Exclude: &gt;15% missing",IF(G582="FLAG","Retain; test in robustness battery","Retain"))))</f>
        <v/>
      </c>
    </row>
    <row r="583">
      <c r="A583" s="55" t="n">
        <v>580</v>
      </c>
      <c r="B583" s="55">
        <f>IF('04_DATA'!A580="","",'04_DATA'!A580)</f>
        <v/>
      </c>
      <c r="C583" s="55">
        <f>IF('04_DATA'!A580="","",IF(AND('04_DATA'!G580=1,'04_DATA'!H580=1,'04_DATA'!I580&gt;=3),"eligible","EXCLUDE"))</f>
        <v/>
      </c>
      <c r="D583" s="55">
        <f>IF('04_DATA'!A580="","",37-COUNT('04_DATA'!$K580:$AU580))</f>
        <v/>
      </c>
      <c r="E583" s="63">
        <f>IF('04_DATA'!A580="","",(37-COUNT('04_DATA'!$K580:$AU580))/37)</f>
        <v/>
      </c>
      <c r="F583" s="55">
        <f>IF('04_DATA'!A580="","",IF(AND(COUNT('04_DATA'!$K580:$AU580)=37,COUNTIF('04_DATA'!$K580:$AU580,INDEX('04_DATA'!$K580:$AU580,1))=37),"EXCLUDE","ok"))</f>
        <v/>
      </c>
      <c r="G583" s="55">
        <f>IF('04_DATA'!A580="","",IF('04_DATA'!D580&lt;PERCENTILE('04_DATA'!$D$2:$D$1001,0.05),"FLAG","ok"))</f>
        <v/>
      </c>
      <c r="H583" s="55">
        <f>IF('04_DATA'!A580="","",IF(OR(C583="EXCLUDE",F583="EXCLUDE"),"Exclude under pre-specified rule",IF(E583&gt;0.15,"Exclude: &gt;15% missing",IF(G583="FLAG","Retain; test in robustness battery","Retain"))))</f>
        <v/>
      </c>
    </row>
    <row r="584">
      <c r="A584" s="55" t="n">
        <v>581</v>
      </c>
      <c r="B584" s="55">
        <f>IF('04_DATA'!A581="","",'04_DATA'!A581)</f>
        <v/>
      </c>
      <c r="C584" s="55">
        <f>IF('04_DATA'!A581="","",IF(AND('04_DATA'!G581=1,'04_DATA'!H581=1,'04_DATA'!I581&gt;=3),"eligible","EXCLUDE"))</f>
        <v/>
      </c>
      <c r="D584" s="55">
        <f>IF('04_DATA'!A581="","",37-COUNT('04_DATA'!$K581:$AU581))</f>
        <v/>
      </c>
      <c r="E584" s="63">
        <f>IF('04_DATA'!A581="","",(37-COUNT('04_DATA'!$K581:$AU581))/37)</f>
        <v/>
      </c>
      <c r="F584" s="55">
        <f>IF('04_DATA'!A581="","",IF(AND(COUNT('04_DATA'!$K581:$AU581)=37,COUNTIF('04_DATA'!$K581:$AU581,INDEX('04_DATA'!$K581:$AU581,1))=37),"EXCLUDE","ok"))</f>
        <v/>
      </c>
      <c r="G584" s="55">
        <f>IF('04_DATA'!A581="","",IF('04_DATA'!D581&lt;PERCENTILE('04_DATA'!$D$2:$D$1001,0.05),"FLAG","ok"))</f>
        <v/>
      </c>
      <c r="H584" s="55">
        <f>IF('04_DATA'!A581="","",IF(OR(C584="EXCLUDE",F584="EXCLUDE"),"Exclude under pre-specified rule",IF(E584&gt;0.15,"Exclude: &gt;15% missing",IF(G584="FLAG","Retain; test in robustness battery","Retain"))))</f>
        <v/>
      </c>
    </row>
    <row r="585">
      <c r="A585" s="55" t="n">
        <v>582</v>
      </c>
      <c r="B585" s="55">
        <f>IF('04_DATA'!A582="","",'04_DATA'!A582)</f>
        <v/>
      </c>
      <c r="C585" s="55">
        <f>IF('04_DATA'!A582="","",IF(AND('04_DATA'!G582=1,'04_DATA'!H582=1,'04_DATA'!I582&gt;=3),"eligible","EXCLUDE"))</f>
        <v/>
      </c>
      <c r="D585" s="55">
        <f>IF('04_DATA'!A582="","",37-COUNT('04_DATA'!$K582:$AU582))</f>
        <v/>
      </c>
      <c r="E585" s="63">
        <f>IF('04_DATA'!A582="","",(37-COUNT('04_DATA'!$K582:$AU582))/37)</f>
        <v/>
      </c>
      <c r="F585" s="55">
        <f>IF('04_DATA'!A582="","",IF(AND(COUNT('04_DATA'!$K582:$AU582)=37,COUNTIF('04_DATA'!$K582:$AU582,INDEX('04_DATA'!$K582:$AU582,1))=37),"EXCLUDE","ok"))</f>
        <v/>
      </c>
      <c r="G585" s="55">
        <f>IF('04_DATA'!A582="","",IF('04_DATA'!D582&lt;PERCENTILE('04_DATA'!$D$2:$D$1001,0.05),"FLAG","ok"))</f>
        <v/>
      </c>
      <c r="H585" s="55">
        <f>IF('04_DATA'!A582="","",IF(OR(C585="EXCLUDE",F585="EXCLUDE"),"Exclude under pre-specified rule",IF(E585&gt;0.15,"Exclude: &gt;15% missing",IF(G585="FLAG","Retain; test in robustness battery","Retain"))))</f>
        <v/>
      </c>
    </row>
    <row r="586">
      <c r="A586" s="55" t="n">
        <v>583</v>
      </c>
      <c r="B586" s="55">
        <f>IF('04_DATA'!A583="","",'04_DATA'!A583)</f>
        <v/>
      </c>
      <c r="C586" s="55">
        <f>IF('04_DATA'!A583="","",IF(AND('04_DATA'!G583=1,'04_DATA'!H583=1,'04_DATA'!I583&gt;=3),"eligible","EXCLUDE"))</f>
        <v/>
      </c>
      <c r="D586" s="55">
        <f>IF('04_DATA'!A583="","",37-COUNT('04_DATA'!$K583:$AU583))</f>
        <v/>
      </c>
      <c r="E586" s="63">
        <f>IF('04_DATA'!A583="","",(37-COUNT('04_DATA'!$K583:$AU583))/37)</f>
        <v/>
      </c>
      <c r="F586" s="55">
        <f>IF('04_DATA'!A583="","",IF(AND(COUNT('04_DATA'!$K583:$AU583)=37,COUNTIF('04_DATA'!$K583:$AU583,INDEX('04_DATA'!$K583:$AU583,1))=37),"EXCLUDE","ok"))</f>
        <v/>
      </c>
      <c r="G586" s="55">
        <f>IF('04_DATA'!A583="","",IF('04_DATA'!D583&lt;PERCENTILE('04_DATA'!$D$2:$D$1001,0.05),"FLAG","ok"))</f>
        <v/>
      </c>
      <c r="H586" s="55">
        <f>IF('04_DATA'!A583="","",IF(OR(C586="EXCLUDE",F586="EXCLUDE"),"Exclude under pre-specified rule",IF(E586&gt;0.15,"Exclude: &gt;15% missing",IF(G586="FLAG","Retain; test in robustness battery","Retain"))))</f>
        <v/>
      </c>
    </row>
    <row r="587">
      <c r="A587" s="55" t="n">
        <v>584</v>
      </c>
      <c r="B587" s="55">
        <f>IF('04_DATA'!A584="","",'04_DATA'!A584)</f>
        <v/>
      </c>
      <c r="C587" s="55">
        <f>IF('04_DATA'!A584="","",IF(AND('04_DATA'!G584=1,'04_DATA'!H584=1,'04_DATA'!I584&gt;=3),"eligible","EXCLUDE"))</f>
        <v/>
      </c>
      <c r="D587" s="55">
        <f>IF('04_DATA'!A584="","",37-COUNT('04_DATA'!$K584:$AU584))</f>
        <v/>
      </c>
      <c r="E587" s="63">
        <f>IF('04_DATA'!A584="","",(37-COUNT('04_DATA'!$K584:$AU584))/37)</f>
        <v/>
      </c>
      <c r="F587" s="55">
        <f>IF('04_DATA'!A584="","",IF(AND(COUNT('04_DATA'!$K584:$AU584)=37,COUNTIF('04_DATA'!$K584:$AU584,INDEX('04_DATA'!$K584:$AU584,1))=37),"EXCLUDE","ok"))</f>
        <v/>
      </c>
      <c r="G587" s="55">
        <f>IF('04_DATA'!A584="","",IF('04_DATA'!D584&lt;PERCENTILE('04_DATA'!$D$2:$D$1001,0.05),"FLAG","ok"))</f>
        <v/>
      </c>
      <c r="H587" s="55">
        <f>IF('04_DATA'!A584="","",IF(OR(C587="EXCLUDE",F587="EXCLUDE"),"Exclude under pre-specified rule",IF(E587&gt;0.15,"Exclude: &gt;15% missing",IF(G587="FLAG","Retain; test in robustness battery","Retain"))))</f>
        <v/>
      </c>
    </row>
    <row r="588">
      <c r="A588" s="55" t="n">
        <v>585</v>
      </c>
      <c r="B588" s="55">
        <f>IF('04_DATA'!A585="","",'04_DATA'!A585)</f>
        <v/>
      </c>
      <c r="C588" s="55">
        <f>IF('04_DATA'!A585="","",IF(AND('04_DATA'!G585=1,'04_DATA'!H585=1,'04_DATA'!I585&gt;=3),"eligible","EXCLUDE"))</f>
        <v/>
      </c>
      <c r="D588" s="55">
        <f>IF('04_DATA'!A585="","",37-COUNT('04_DATA'!$K585:$AU585))</f>
        <v/>
      </c>
      <c r="E588" s="63">
        <f>IF('04_DATA'!A585="","",(37-COUNT('04_DATA'!$K585:$AU585))/37)</f>
        <v/>
      </c>
      <c r="F588" s="55">
        <f>IF('04_DATA'!A585="","",IF(AND(COUNT('04_DATA'!$K585:$AU585)=37,COUNTIF('04_DATA'!$K585:$AU585,INDEX('04_DATA'!$K585:$AU585,1))=37),"EXCLUDE","ok"))</f>
        <v/>
      </c>
      <c r="G588" s="55">
        <f>IF('04_DATA'!A585="","",IF('04_DATA'!D585&lt;PERCENTILE('04_DATA'!$D$2:$D$1001,0.05),"FLAG","ok"))</f>
        <v/>
      </c>
      <c r="H588" s="55">
        <f>IF('04_DATA'!A585="","",IF(OR(C588="EXCLUDE",F588="EXCLUDE"),"Exclude under pre-specified rule",IF(E588&gt;0.15,"Exclude: &gt;15% missing",IF(G588="FLAG","Retain; test in robustness battery","Retain"))))</f>
        <v/>
      </c>
    </row>
    <row r="589">
      <c r="A589" s="55" t="n">
        <v>586</v>
      </c>
      <c r="B589" s="55">
        <f>IF('04_DATA'!A586="","",'04_DATA'!A586)</f>
        <v/>
      </c>
      <c r="C589" s="55">
        <f>IF('04_DATA'!A586="","",IF(AND('04_DATA'!G586=1,'04_DATA'!H586=1,'04_DATA'!I586&gt;=3),"eligible","EXCLUDE"))</f>
        <v/>
      </c>
      <c r="D589" s="55">
        <f>IF('04_DATA'!A586="","",37-COUNT('04_DATA'!$K586:$AU586))</f>
        <v/>
      </c>
      <c r="E589" s="63">
        <f>IF('04_DATA'!A586="","",(37-COUNT('04_DATA'!$K586:$AU586))/37)</f>
        <v/>
      </c>
      <c r="F589" s="55">
        <f>IF('04_DATA'!A586="","",IF(AND(COUNT('04_DATA'!$K586:$AU586)=37,COUNTIF('04_DATA'!$K586:$AU586,INDEX('04_DATA'!$K586:$AU586,1))=37),"EXCLUDE","ok"))</f>
        <v/>
      </c>
      <c r="G589" s="55">
        <f>IF('04_DATA'!A586="","",IF('04_DATA'!D586&lt;PERCENTILE('04_DATA'!$D$2:$D$1001,0.05),"FLAG","ok"))</f>
        <v/>
      </c>
      <c r="H589" s="55">
        <f>IF('04_DATA'!A586="","",IF(OR(C589="EXCLUDE",F589="EXCLUDE"),"Exclude under pre-specified rule",IF(E589&gt;0.15,"Exclude: &gt;15% missing",IF(G589="FLAG","Retain; test in robustness battery","Retain"))))</f>
        <v/>
      </c>
    </row>
    <row r="590">
      <c r="A590" s="55" t="n">
        <v>587</v>
      </c>
      <c r="B590" s="55">
        <f>IF('04_DATA'!A587="","",'04_DATA'!A587)</f>
        <v/>
      </c>
      <c r="C590" s="55">
        <f>IF('04_DATA'!A587="","",IF(AND('04_DATA'!G587=1,'04_DATA'!H587=1,'04_DATA'!I587&gt;=3),"eligible","EXCLUDE"))</f>
        <v/>
      </c>
      <c r="D590" s="55">
        <f>IF('04_DATA'!A587="","",37-COUNT('04_DATA'!$K587:$AU587))</f>
        <v/>
      </c>
      <c r="E590" s="63">
        <f>IF('04_DATA'!A587="","",(37-COUNT('04_DATA'!$K587:$AU587))/37)</f>
        <v/>
      </c>
      <c r="F590" s="55">
        <f>IF('04_DATA'!A587="","",IF(AND(COUNT('04_DATA'!$K587:$AU587)=37,COUNTIF('04_DATA'!$K587:$AU587,INDEX('04_DATA'!$K587:$AU587,1))=37),"EXCLUDE","ok"))</f>
        <v/>
      </c>
      <c r="G590" s="55">
        <f>IF('04_DATA'!A587="","",IF('04_DATA'!D587&lt;PERCENTILE('04_DATA'!$D$2:$D$1001,0.05),"FLAG","ok"))</f>
        <v/>
      </c>
      <c r="H590" s="55">
        <f>IF('04_DATA'!A587="","",IF(OR(C590="EXCLUDE",F590="EXCLUDE"),"Exclude under pre-specified rule",IF(E590&gt;0.15,"Exclude: &gt;15% missing",IF(G590="FLAG","Retain; test in robustness battery","Retain"))))</f>
        <v/>
      </c>
    </row>
    <row r="591">
      <c r="A591" s="55" t="n">
        <v>588</v>
      </c>
      <c r="B591" s="55">
        <f>IF('04_DATA'!A588="","",'04_DATA'!A588)</f>
        <v/>
      </c>
      <c r="C591" s="55">
        <f>IF('04_DATA'!A588="","",IF(AND('04_DATA'!G588=1,'04_DATA'!H588=1,'04_DATA'!I588&gt;=3),"eligible","EXCLUDE"))</f>
        <v/>
      </c>
      <c r="D591" s="55">
        <f>IF('04_DATA'!A588="","",37-COUNT('04_DATA'!$K588:$AU588))</f>
        <v/>
      </c>
      <c r="E591" s="63">
        <f>IF('04_DATA'!A588="","",(37-COUNT('04_DATA'!$K588:$AU588))/37)</f>
        <v/>
      </c>
      <c r="F591" s="55">
        <f>IF('04_DATA'!A588="","",IF(AND(COUNT('04_DATA'!$K588:$AU588)=37,COUNTIF('04_DATA'!$K588:$AU588,INDEX('04_DATA'!$K588:$AU588,1))=37),"EXCLUDE","ok"))</f>
        <v/>
      </c>
      <c r="G591" s="55">
        <f>IF('04_DATA'!A588="","",IF('04_DATA'!D588&lt;PERCENTILE('04_DATA'!$D$2:$D$1001,0.05),"FLAG","ok"))</f>
        <v/>
      </c>
      <c r="H591" s="55">
        <f>IF('04_DATA'!A588="","",IF(OR(C591="EXCLUDE",F591="EXCLUDE"),"Exclude under pre-specified rule",IF(E591&gt;0.15,"Exclude: &gt;15% missing",IF(G591="FLAG","Retain; test in robustness battery","Retain"))))</f>
        <v/>
      </c>
    </row>
    <row r="592">
      <c r="A592" s="55" t="n">
        <v>589</v>
      </c>
      <c r="B592" s="55">
        <f>IF('04_DATA'!A589="","",'04_DATA'!A589)</f>
        <v/>
      </c>
      <c r="C592" s="55">
        <f>IF('04_DATA'!A589="","",IF(AND('04_DATA'!G589=1,'04_DATA'!H589=1,'04_DATA'!I589&gt;=3),"eligible","EXCLUDE"))</f>
        <v/>
      </c>
      <c r="D592" s="55">
        <f>IF('04_DATA'!A589="","",37-COUNT('04_DATA'!$K589:$AU589))</f>
        <v/>
      </c>
      <c r="E592" s="63">
        <f>IF('04_DATA'!A589="","",(37-COUNT('04_DATA'!$K589:$AU589))/37)</f>
        <v/>
      </c>
      <c r="F592" s="55">
        <f>IF('04_DATA'!A589="","",IF(AND(COUNT('04_DATA'!$K589:$AU589)=37,COUNTIF('04_DATA'!$K589:$AU589,INDEX('04_DATA'!$K589:$AU589,1))=37),"EXCLUDE","ok"))</f>
        <v/>
      </c>
      <c r="G592" s="55">
        <f>IF('04_DATA'!A589="","",IF('04_DATA'!D589&lt;PERCENTILE('04_DATA'!$D$2:$D$1001,0.05),"FLAG","ok"))</f>
        <v/>
      </c>
      <c r="H592" s="55">
        <f>IF('04_DATA'!A589="","",IF(OR(C592="EXCLUDE",F592="EXCLUDE"),"Exclude under pre-specified rule",IF(E592&gt;0.15,"Exclude: &gt;15% missing",IF(G592="FLAG","Retain; test in robustness battery","Retain"))))</f>
        <v/>
      </c>
    </row>
    <row r="593">
      <c r="A593" s="55" t="n">
        <v>590</v>
      </c>
      <c r="B593" s="55">
        <f>IF('04_DATA'!A590="","",'04_DATA'!A590)</f>
        <v/>
      </c>
      <c r="C593" s="55">
        <f>IF('04_DATA'!A590="","",IF(AND('04_DATA'!G590=1,'04_DATA'!H590=1,'04_DATA'!I590&gt;=3),"eligible","EXCLUDE"))</f>
        <v/>
      </c>
      <c r="D593" s="55">
        <f>IF('04_DATA'!A590="","",37-COUNT('04_DATA'!$K590:$AU590))</f>
        <v/>
      </c>
      <c r="E593" s="63">
        <f>IF('04_DATA'!A590="","",(37-COUNT('04_DATA'!$K590:$AU590))/37)</f>
        <v/>
      </c>
      <c r="F593" s="55">
        <f>IF('04_DATA'!A590="","",IF(AND(COUNT('04_DATA'!$K590:$AU590)=37,COUNTIF('04_DATA'!$K590:$AU590,INDEX('04_DATA'!$K590:$AU590,1))=37),"EXCLUDE","ok"))</f>
        <v/>
      </c>
      <c r="G593" s="55">
        <f>IF('04_DATA'!A590="","",IF('04_DATA'!D590&lt;PERCENTILE('04_DATA'!$D$2:$D$1001,0.05),"FLAG","ok"))</f>
        <v/>
      </c>
      <c r="H593" s="55">
        <f>IF('04_DATA'!A590="","",IF(OR(C593="EXCLUDE",F593="EXCLUDE"),"Exclude under pre-specified rule",IF(E593&gt;0.15,"Exclude: &gt;15% missing",IF(G593="FLAG","Retain; test in robustness battery","Retain"))))</f>
        <v/>
      </c>
    </row>
    <row r="594">
      <c r="A594" s="55" t="n">
        <v>591</v>
      </c>
      <c r="B594" s="55">
        <f>IF('04_DATA'!A591="","",'04_DATA'!A591)</f>
        <v/>
      </c>
      <c r="C594" s="55">
        <f>IF('04_DATA'!A591="","",IF(AND('04_DATA'!G591=1,'04_DATA'!H591=1,'04_DATA'!I591&gt;=3),"eligible","EXCLUDE"))</f>
        <v/>
      </c>
      <c r="D594" s="55">
        <f>IF('04_DATA'!A591="","",37-COUNT('04_DATA'!$K591:$AU591))</f>
        <v/>
      </c>
      <c r="E594" s="63">
        <f>IF('04_DATA'!A591="","",(37-COUNT('04_DATA'!$K591:$AU591))/37)</f>
        <v/>
      </c>
      <c r="F594" s="55">
        <f>IF('04_DATA'!A591="","",IF(AND(COUNT('04_DATA'!$K591:$AU591)=37,COUNTIF('04_DATA'!$K591:$AU591,INDEX('04_DATA'!$K591:$AU591,1))=37),"EXCLUDE","ok"))</f>
        <v/>
      </c>
      <c r="G594" s="55">
        <f>IF('04_DATA'!A591="","",IF('04_DATA'!D591&lt;PERCENTILE('04_DATA'!$D$2:$D$1001,0.05),"FLAG","ok"))</f>
        <v/>
      </c>
      <c r="H594" s="55">
        <f>IF('04_DATA'!A591="","",IF(OR(C594="EXCLUDE",F594="EXCLUDE"),"Exclude under pre-specified rule",IF(E594&gt;0.15,"Exclude: &gt;15% missing",IF(G594="FLAG","Retain; test in robustness battery","Retain"))))</f>
        <v/>
      </c>
    </row>
    <row r="595">
      <c r="A595" s="55" t="n">
        <v>592</v>
      </c>
      <c r="B595" s="55">
        <f>IF('04_DATA'!A592="","",'04_DATA'!A592)</f>
        <v/>
      </c>
      <c r="C595" s="55">
        <f>IF('04_DATA'!A592="","",IF(AND('04_DATA'!G592=1,'04_DATA'!H592=1,'04_DATA'!I592&gt;=3),"eligible","EXCLUDE"))</f>
        <v/>
      </c>
      <c r="D595" s="55">
        <f>IF('04_DATA'!A592="","",37-COUNT('04_DATA'!$K592:$AU592))</f>
        <v/>
      </c>
      <c r="E595" s="63">
        <f>IF('04_DATA'!A592="","",(37-COUNT('04_DATA'!$K592:$AU592))/37)</f>
        <v/>
      </c>
      <c r="F595" s="55">
        <f>IF('04_DATA'!A592="","",IF(AND(COUNT('04_DATA'!$K592:$AU592)=37,COUNTIF('04_DATA'!$K592:$AU592,INDEX('04_DATA'!$K592:$AU592,1))=37),"EXCLUDE","ok"))</f>
        <v/>
      </c>
      <c r="G595" s="55">
        <f>IF('04_DATA'!A592="","",IF('04_DATA'!D592&lt;PERCENTILE('04_DATA'!$D$2:$D$1001,0.05),"FLAG","ok"))</f>
        <v/>
      </c>
      <c r="H595" s="55">
        <f>IF('04_DATA'!A592="","",IF(OR(C595="EXCLUDE",F595="EXCLUDE"),"Exclude under pre-specified rule",IF(E595&gt;0.15,"Exclude: &gt;15% missing",IF(G595="FLAG","Retain; test in robustness battery","Retain"))))</f>
        <v/>
      </c>
    </row>
    <row r="596">
      <c r="A596" s="55" t="n">
        <v>593</v>
      </c>
      <c r="B596" s="55">
        <f>IF('04_DATA'!A593="","",'04_DATA'!A593)</f>
        <v/>
      </c>
      <c r="C596" s="55">
        <f>IF('04_DATA'!A593="","",IF(AND('04_DATA'!G593=1,'04_DATA'!H593=1,'04_DATA'!I593&gt;=3),"eligible","EXCLUDE"))</f>
        <v/>
      </c>
      <c r="D596" s="55">
        <f>IF('04_DATA'!A593="","",37-COUNT('04_DATA'!$K593:$AU593))</f>
        <v/>
      </c>
      <c r="E596" s="63">
        <f>IF('04_DATA'!A593="","",(37-COUNT('04_DATA'!$K593:$AU593))/37)</f>
        <v/>
      </c>
      <c r="F596" s="55">
        <f>IF('04_DATA'!A593="","",IF(AND(COUNT('04_DATA'!$K593:$AU593)=37,COUNTIF('04_DATA'!$K593:$AU593,INDEX('04_DATA'!$K593:$AU593,1))=37),"EXCLUDE","ok"))</f>
        <v/>
      </c>
      <c r="G596" s="55">
        <f>IF('04_DATA'!A593="","",IF('04_DATA'!D593&lt;PERCENTILE('04_DATA'!$D$2:$D$1001,0.05),"FLAG","ok"))</f>
        <v/>
      </c>
      <c r="H596" s="55">
        <f>IF('04_DATA'!A593="","",IF(OR(C596="EXCLUDE",F596="EXCLUDE"),"Exclude under pre-specified rule",IF(E596&gt;0.15,"Exclude: &gt;15% missing",IF(G596="FLAG","Retain; test in robustness battery","Retain"))))</f>
        <v/>
      </c>
    </row>
    <row r="597">
      <c r="A597" s="55" t="n">
        <v>594</v>
      </c>
      <c r="B597" s="55">
        <f>IF('04_DATA'!A594="","",'04_DATA'!A594)</f>
        <v/>
      </c>
      <c r="C597" s="55">
        <f>IF('04_DATA'!A594="","",IF(AND('04_DATA'!G594=1,'04_DATA'!H594=1,'04_DATA'!I594&gt;=3),"eligible","EXCLUDE"))</f>
        <v/>
      </c>
      <c r="D597" s="55">
        <f>IF('04_DATA'!A594="","",37-COUNT('04_DATA'!$K594:$AU594))</f>
        <v/>
      </c>
      <c r="E597" s="63">
        <f>IF('04_DATA'!A594="","",(37-COUNT('04_DATA'!$K594:$AU594))/37)</f>
        <v/>
      </c>
      <c r="F597" s="55">
        <f>IF('04_DATA'!A594="","",IF(AND(COUNT('04_DATA'!$K594:$AU594)=37,COUNTIF('04_DATA'!$K594:$AU594,INDEX('04_DATA'!$K594:$AU594,1))=37),"EXCLUDE","ok"))</f>
        <v/>
      </c>
      <c r="G597" s="55">
        <f>IF('04_DATA'!A594="","",IF('04_DATA'!D594&lt;PERCENTILE('04_DATA'!$D$2:$D$1001,0.05),"FLAG","ok"))</f>
        <v/>
      </c>
      <c r="H597" s="55">
        <f>IF('04_DATA'!A594="","",IF(OR(C597="EXCLUDE",F597="EXCLUDE"),"Exclude under pre-specified rule",IF(E597&gt;0.15,"Exclude: &gt;15% missing",IF(G597="FLAG","Retain; test in robustness battery","Retain"))))</f>
        <v/>
      </c>
    </row>
    <row r="598">
      <c r="A598" s="55" t="n">
        <v>595</v>
      </c>
      <c r="B598" s="55">
        <f>IF('04_DATA'!A595="","",'04_DATA'!A595)</f>
        <v/>
      </c>
      <c r="C598" s="55">
        <f>IF('04_DATA'!A595="","",IF(AND('04_DATA'!G595=1,'04_DATA'!H595=1,'04_DATA'!I595&gt;=3),"eligible","EXCLUDE"))</f>
        <v/>
      </c>
      <c r="D598" s="55">
        <f>IF('04_DATA'!A595="","",37-COUNT('04_DATA'!$K595:$AU595))</f>
        <v/>
      </c>
      <c r="E598" s="63">
        <f>IF('04_DATA'!A595="","",(37-COUNT('04_DATA'!$K595:$AU595))/37)</f>
        <v/>
      </c>
      <c r="F598" s="55">
        <f>IF('04_DATA'!A595="","",IF(AND(COUNT('04_DATA'!$K595:$AU595)=37,COUNTIF('04_DATA'!$K595:$AU595,INDEX('04_DATA'!$K595:$AU595,1))=37),"EXCLUDE","ok"))</f>
        <v/>
      </c>
      <c r="G598" s="55">
        <f>IF('04_DATA'!A595="","",IF('04_DATA'!D595&lt;PERCENTILE('04_DATA'!$D$2:$D$1001,0.05),"FLAG","ok"))</f>
        <v/>
      </c>
      <c r="H598" s="55">
        <f>IF('04_DATA'!A595="","",IF(OR(C598="EXCLUDE",F598="EXCLUDE"),"Exclude under pre-specified rule",IF(E598&gt;0.15,"Exclude: &gt;15% missing",IF(G598="FLAG","Retain; test in robustness battery","Retain"))))</f>
        <v/>
      </c>
    </row>
    <row r="599">
      <c r="A599" s="55" t="n">
        <v>596</v>
      </c>
      <c r="B599" s="55">
        <f>IF('04_DATA'!A596="","",'04_DATA'!A596)</f>
        <v/>
      </c>
      <c r="C599" s="55">
        <f>IF('04_DATA'!A596="","",IF(AND('04_DATA'!G596=1,'04_DATA'!H596=1,'04_DATA'!I596&gt;=3),"eligible","EXCLUDE"))</f>
        <v/>
      </c>
      <c r="D599" s="55">
        <f>IF('04_DATA'!A596="","",37-COUNT('04_DATA'!$K596:$AU596))</f>
        <v/>
      </c>
      <c r="E599" s="63">
        <f>IF('04_DATA'!A596="","",(37-COUNT('04_DATA'!$K596:$AU596))/37)</f>
        <v/>
      </c>
      <c r="F599" s="55">
        <f>IF('04_DATA'!A596="","",IF(AND(COUNT('04_DATA'!$K596:$AU596)=37,COUNTIF('04_DATA'!$K596:$AU596,INDEX('04_DATA'!$K596:$AU596,1))=37),"EXCLUDE","ok"))</f>
        <v/>
      </c>
      <c r="G599" s="55">
        <f>IF('04_DATA'!A596="","",IF('04_DATA'!D596&lt;PERCENTILE('04_DATA'!$D$2:$D$1001,0.05),"FLAG","ok"))</f>
        <v/>
      </c>
      <c r="H599" s="55">
        <f>IF('04_DATA'!A596="","",IF(OR(C599="EXCLUDE",F599="EXCLUDE"),"Exclude under pre-specified rule",IF(E599&gt;0.15,"Exclude: &gt;15% missing",IF(G599="FLAG","Retain; test in robustness battery","Retain"))))</f>
        <v/>
      </c>
    </row>
    <row r="600">
      <c r="A600" s="55" t="n">
        <v>597</v>
      </c>
      <c r="B600" s="55">
        <f>IF('04_DATA'!A597="","",'04_DATA'!A597)</f>
        <v/>
      </c>
      <c r="C600" s="55">
        <f>IF('04_DATA'!A597="","",IF(AND('04_DATA'!G597=1,'04_DATA'!H597=1,'04_DATA'!I597&gt;=3),"eligible","EXCLUDE"))</f>
        <v/>
      </c>
      <c r="D600" s="55">
        <f>IF('04_DATA'!A597="","",37-COUNT('04_DATA'!$K597:$AU597))</f>
        <v/>
      </c>
      <c r="E600" s="63">
        <f>IF('04_DATA'!A597="","",(37-COUNT('04_DATA'!$K597:$AU597))/37)</f>
        <v/>
      </c>
      <c r="F600" s="55">
        <f>IF('04_DATA'!A597="","",IF(AND(COUNT('04_DATA'!$K597:$AU597)=37,COUNTIF('04_DATA'!$K597:$AU597,INDEX('04_DATA'!$K597:$AU597,1))=37),"EXCLUDE","ok"))</f>
        <v/>
      </c>
      <c r="G600" s="55">
        <f>IF('04_DATA'!A597="","",IF('04_DATA'!D597&lt;PERCENTILE('04_DATA'!$D$2:$D$1001,0.05),"FLAG","ok"))</f>
        <v/>
      </c>
      <c r="H600" s="55">
        <f>IF('04_DATA'!A597="","",IF(OR(C600="EXCLUDE",F600="EXCLUDE"),"Exclude under pre-specified rule",IF(E600&gt;0.15,"Exclude: &gt;15% missing",IF(G600="FLAG","Retain; test in robustness battery","Retain"))))</f>
        <v/>
      </c>
    </row>
    <row r="601">
      <c r="A601" s="55" t="n">
        <v>598</v>
      </c>
      <c r="B601" s="55">
        <f>IF('04_DATA'!A598="","",'04_DATA'!A598)</f>
        <v/>
      </c>
      <c r="C601" s="55">
        <f>IF('04_DATA'!A598="","",IF(AND('04_DATA'!G598=1,'04_DATA'!H598=1,'04_DATA'!I598&gt;=3),"eligible","EXCLUDE"))</f>
        <v/>
      </c>
      <c r="D601" s="55">
        <f>IF('04_DATA'!A598="","",37-COUNT('04_DATA'!$K598:$AU598))</f>
        <v/>
      </c>
      <c r="E601" s="63">
        <f>IF('04_DATA'!A598="","",(37-COUNT('04_DATA'!$K598:$AU598))/37)</f>
        <v/>
      </c>
      <c r="F601" s="55">
        <f>IF('04_DATA'!A598="","",IF(AND(COUNT('04_DATA'!$K598:$AU598)=37,COUNTIF('04_DATA'!$K598:$AU598,INDEX('04_DATA'!$K598:$AU598,1))=37),"EXCLUDE","ok"))</f>
        <v/>
      </c>
      <c r="G601" s="55">
        <f>IF('04_DATA'!A598="","",IF('04_DATA'!D598&lt;PERCENTILE('04_DATA'!$D$2:$D$1001,0.05),"FLAG","ok"))</f>
        <v/>
      </c>
      <c r="H601" s="55">
        <f>IF('04_DATA'!A598="","",IF(OR(C601="EXCLUDE",F601="EXCLUDE"),"Exclude under pre-specified rule",IF(E601&gt;0.15,"Exclude: &gt;15% missing",IF(G601="FLAG","Retain; test in robustness battery","Retain"))))</f>
        <v/>
      </c>
    </row>
    <row r="602">
      <c r="A602" s="55" t="n">
        <v>599</v>
      </c>
      <c r="B602" s="55">
        <f>IF('04_DATA'!A599="","",'04_DATA'!A599)</f>
        <v/>
      </c>
      <c r="C602" s="55">
        <f>IF('04_DATA'!A599="","",IF(AND('04_DATA'!G599=1,'04_DATA'!H599=1,'04_DATA'!I599&gt;=3),"eligible","EXCLUDE"))</f>
        <v/>
      </c>
      <c r="D602" s="55">
        <f>IF('04_DATA'!A599="","",37-COUNT('04_DATA'!$K599:$AU599))</f>
        <v/>
      </c>
      <c r="E602" s="63">
        <f>IF('04_DATA'!A599="","",(37-COUNT('04_DATA'!$K599:$AU599))/37)</f>
        <v/>
      </c>
      <c r="F602" s="55">
        <f>IF('04_DATA'!A599="","",IF(AND(COUNT('04_DATA'!$K599:$AU599)=37,COUNTIF('04_DATA'!$K599:$AU599,INDEX('04_DATA'!$K599:$AU599,1))=37),"EXCLUDE","ok"))</f>
        <v/>
      </c>
      <c r="G602" s="55">
        <f>IF('04_DATA'!A599="","",IF('04_DATA'!D599&lt;PERCENTILE('04_DATA'!$D$2:$D$1001,0.05),"FLAG","ok"))</f>
        <v/>
      </c>
      <c r="H602" s="55">
        <f>IF('04_DATA'!A599="","",IF(OR(C602="EXCLUDE",F602="EXCLUDE"),"Exclude under pre-specified rule",IF(E602&gt;0.15,"Exclude: &gt;15% missing",IF(G602="FLAG","Retain; test in robustness battery","Retain"))))</f>
        <v/>
      </c>
    </row>
    <row r="603">
      <c r="A603" s="55" t="n">
        <v>600</v>
      </c>
      <c r="B603" s="55">
        <f>IF('04_DATA'!A600="","",'04_DATA'!A600)</f>
        <v/>
      </c>
      <c r="C603" s="55">
        <f>IF('04_DATA'!A600="","",IF(AND('04_DATA'!G600=1,'04_DATA'!H600=1,'04_DATA'!I600&gt;=3),"eligible","EXCLUDE"))</f>
        <v/>
      </c>
      <c r="D603" s="55">
        <f>IF('04_DATA'!A600="","",37-COUNT('04_DATA'!$K600:$AU600))</f>
        <v/>
      </c>
      <c r="E603" s="63">
        <f>IF('04_DATA'!A600="","",(37-COUNT('04_DATA'!$K600:$AU600))/37)</f>
        <v/>
      </c>
      <c r="F603" s="55">
        <f>IF('04_DATA'!A600="","",IF(AND(COUNT('04_DATA'!$K600:$AU600)=37,COUNTIF('04_DATA'!$K600:$AU600,INDEX('04_DATA'!$K600:$AU600,1))=37),"EXCLUDE","ok"))</f>
        <v/>
      </c>
      <c r="G603" s="55">
        <f>IF('04_DATA'!A600="","",IF('04_DATA'!D600&lt;PERCENTILE('04_DATA'!$D$2:$D$1001,0.05),"FLAG","ok"))</f>
        <v/>
      </c>
      <c r="H603" s="55">
        <f>IF('04_DATA'!A600="","",IF(OR(C603="EXCLUDE",F603="EXCLUDE"),"Exclude under pre-specified rule",IF(E603&gt;0.15,"Exclude: &gt;15% missing",IF(G603="FLAG","Retain; test in robustness battery","Retain"))))</f>
        <v/>
      </c>
    </row>
    <row r="604">
      <c r="A604" s="55" t="n">
        <v>601</v>
      </c>
      <c r="B604" s="55">
        <f>IF('04_DATA'!A601="","",'04_DATA'!A601)</f>
        <v/>
      </c>
      <c r="C604" s="55">
        <f>IF('04_DATA'!A601="","",IF(AND('04_DATA'!G601=1,'04_DATA'!H601=1,'04_DATA'!I601&gt;=3),"eligible","EXCLUDE"))</f>
        <v/>
      </c>
      <c r="D604" s="55">
        <f>IF('04_DATA'!A601="","",37-COUNT('04_DATA'!$K601:$AU601))</f>
        <v/>
      </c>
      <c r="E604" s="63">
        <f>IF('04_DATA'!A601="","",(37-COUNT('04_DATA'!$K601:$AU601))/37)</f>
        <v/>
      </c>
      <c r="F604" s="55">
        <f>IF('04_DATA'!A601="","",IF(AND(COUNT('04_DATA'!$K601:$AU601)=37,COUNTIF('04_DATA'!$K601:$AU601,INDEX('04_DATA'!$K601:$AU601,1))=37),"EXCLUDE","ok"))</f>
        <v/>
      </c>
      <c r="G604" s="55">
        <f>IF('04_DATA'!A601="","",IF('04_DATA'!D601&lt;PERCENTILE('04_DATA'!$D$2:$D$1001,0.05),"FLAG","ok"))</f>
        <v/>
      </c>
      <c r="H604" s="55">
        <f>IF('04_DATA'!A601="","",IF(OR(C604="EXCLUDE",F604="EXCLUDE"),"Exclude under pre-specified rule",IF(E604&gt;0.15,"Exclude: &gt;15% missing",IF(G604="FLAG","Retain; test in robustness battery","Retain"))))</f>
        <v/>
      </c>
    </row>
    <row r="605">
      <c r="A605" s="55" t="n">
        <v>602</v>
      </c>
      <c r="B605" s="55">
        <f>IF('04_DATA'!A602="","",'04_DATA'!A602)</f>
        <v/>
      </c>
      <c r="C605" s="55">
        <f>IF('04_DATA'!A602="","",IF(AND('04_DATA'!G602=1,'04_DATA'!H602=1,'04_DATA'!I602&gt;=3),"eligible","EXCLUDE"))</f>
        <v/>
      </c>
      <c r="D605" s="55">
        <f>IF('04_DATA'!A602="","",37-COUNT('04_DATA'!$K602:$AU602))</f>
        <v/>
      </c>
      <c r="E605" s="63">
        <f>IF('04_DATA'!A602="","",(37-COUNT('04_DATA'!$K602:$AU602))/37)</f>
        <v/>
      </c>
      <c r="F605" s="55">
        <f>IF('04_DATA'!A602="","",IF(AND(COUNT('04_DATA'!$K602:$AU602)=37,COUNTIF('04_DATA'!$K602:$AU602,INDEX('04_DATA'!$K602:$AU602,1))=37),"EXCLUDE","ok"))</f>
        <v/>
      </c>
      <c r="G605" s="55">
        <f>IF('04_DATA'!A602="","",IF('04_DATA'!D602&lt;PERCENTILE('04_DATA'!$D$2:$D$1001,0.05),"FLAG","ok"))</f>
        <v/>
      </c>
      <c r="H605" s="55">
        <f>IF('04_DATA'!A602="","",IF(OR(C605="EXCLUDE",F605="EXCLUDE"),"Exclude under pre-specified rule",IF(E605&gt;0.15,"Exclude: &gt;15% missing",IF(G605="FLAG","Retain; test in robustness battery","Retain"))))</f>
        <v/>
      </c>
    </row>
    <row r="606">
      <c r="A606" s="55" t="n">
        <v>603</v>
      </c>
      <c r="B606" s="55">
        <f>IF('04_DATA'!A603="","",'04_DATA'!A603)</f>
        <v/>
      </c>
      <c r="C606" s="55">
        <f>IF('04_DATA'!A603="","",IF(AND('04_DATA'!G603=1,'04_DATA'!H603=1,'04_DATA'!I603&gt;=3),"eligible","EXCLUDE"))</f>
        <v/>
      </c>
      <c r="D606" s="55">
        <f>IF('04_DATA'!A603="","",37-COUNT('04_DATA'!$K603:$AU603))</f>
        <v/>
      </c>
      <c r="E606" s="63">
        <f>IF('04_DATA'!A603="","",(37-COUNT('04_DATA'!$K603:$AU603))/37)</f>
        <v/>
      </c>
      <c r="F606" s="55">
        <f>IF('04_DATA'!A603="","",IF(AND(COUNT('04_DATA'!$K603:$AU603)=37,COUNTIF('04_DATA'!$K603:$AU603,INDEX('04_DATA'!$K603:$AU603,1))=37),"EXCLUDE","ok"))</f>
        <v/>
      </c>
      <c r="G606" s="55">
        <f>IF('04_DATA'!A603="","",IF('04_DATA'!D603&lt;PERCENTILE('04_DATA'!$D$2:$D$1001,0.05),"FLAG","ok"))</f>
        <v/>
      </c>
      <c r="H606" s="55">
        <f>IF('04_DATA'!A603="","",IF(OR(C606="EXCLUDE",F606="EXCLUDE"),"Exclude under pre-specified rule",IF(E606&gt;0.15,"Exclude: &gt;15% missing",IF(G606="FLAG","Retain; test in robustness battery","Retain"))))</f>
        <v/>
      </c>
    </row>
    <row r="607">
      <c r="A607" s="55" t="n">
        <v>604</v>
      </c>
      <c r="B607" s="55">
        <f>IF('04_DATA'!A604="","",'04_DATA'!A604)</f>
        <v/>
      </c>
      <c r="C607" s="55">
        <f>IF('04_DATA'!A604="","",IF(AND('04_DATA'!G604=1,'04_DATA'!H604=1,'04_DATA'!I604&gt;=3),"eligible","EXCLUDE"))</f>
        <v/>
      </c>
      <c r="D607" s="55">
        <f>IF('04_DATA'!A604="","",37-COUNT('04_DATA'!$K604:$AU604))</f>
        <v/>
      </c>
      <c r="E607" s="63">
        <f>IF('04_DATA'!A604="","",(37-COUNT('04_DATA'!$K604:$AU604))/37)</f>
        <v/>
      </c>
      <c r="F607" s="55">
        <f>IF('04_DATA'!A604="","",IF(AND(COUNT('04_DATA'!$K604:$AU604)=37,COUNTIF('04_DATA'!$K604:$AU604,INDEX('04_DATA'!$K604:$AU604,1))=37),"EXCLUDE","ok"))</f>
        <v/>
      </c>
      <c r="G607" s="55">
        <f>IF('04_DATA'!A604="","",IF('04_DATA'!D604&lt;PERCENTILE('04_DATA'!$D$2:$D$1001,0.05),"FLAG","ok"))</f>
        <v/>
      </c>
      <c r="H607" s="55">
        <f>IF('04_DATA'!A604="","",IF(OR(C607="EXCLUDE",F607="EXCLUDE"),"Exclude under pre-specified rule",IF(E607&gt;0.15,"Exclude: &gt;15% missing",IF(G607="FLAG","Retain; test in robustness battery","Retain"))))</f>
        <v/>
      </c>
    </row>
    <row r="608">
      <c r="A608" s="55" t="n">
        <v>605</v>
      </c>
      <c r="B608" s="55">
        <f>IF('04_DATA'!A605="","",'04_DATA'!A605)</f>
        <v/>
      </c>
      <c r="C608" s="55">
        <f>IF('04_DATA'!A605="","",IF(AND('04_DATA'!G605=1,'04_DATA'!H605=1,'04_DATA'!I605&gt;=3),"eligible","EXCLUDE"))</f>
        <v/>
      </c>
      <c r="D608" s="55">
        <f>IF('04_DATA'!A605="","",37-COUNT('04_DATA'!$K605:$AU605))</f>
        <v/>
      </c>
      <c r="E608" s="63">
        <f>IF('04_DATA'!A605="","",(37-COUNT('04_DATA'!$K605:$AU605))/37)</f>
        <v/>
      </c>
      <c r="F608" s="55">
        <f>IF('04_DATA'!A605="","",IF(AND(COUNT('04_DATA'!$K605:$AU605)=37,COUNTIF('04_DATA'!$K605:$AU605,INDEX('04_DATA'!$K605:$AU605,1))=37),"EXCLUDE","ok"))</f>
        <v/>
      </c>
      <c r="G608" s="55">
        <f>IF('04_DATA'!A605="","",IF('04_DATA'!D605&lt;PERCENTILE('04_DATA'!$D$2:$D$1001,0.05),"FLAG","ok"))</f>
        <v/>
      </c>
      <c r="H608" s="55">
        <f>IF('04_DATA'!A605="","",IF(OR(C608="EXCLUDE",F608="EXCLUDE"),"Exclude under pre-specified rule",IF(E608&gt;0.15,"Exclude: &gt;15% missing",IF(G608="FLAG","Retain; test in robustness battery","Retain"))))</f>
        <v/>
      </c>
    </row>
    <row r="609">
      <c r="A609" s="55" t="n">
        <v>606</v>
      </c>
      <c r="B609" s="55">
        <f>IF('04_DATA'!A606="","",'04_DATA'!A606)</f>
        <v/>
      </c>
      <c r="C609" s="55">
        <f>IF('04_DATA'!A606="","",IF(AND('04_DATA'!G606=1,'04_DATA'!H606=1,'04_DATA'!I606&gt;=3),"eligible","EXCLUDE"))</f>
        <v/>
      </c>
      <c r="D609" s="55">
        <f>IF('04_DATA'!A606="","",37-COUNT('04_DATA'!$K606:$AU606))</f>
        <v/>
      </c>
      <c r="E609" s="63">
        <f>IF('04_DATA'!A606="","",(37-COUNT('04_DATA'!$K606:$AU606))/37)</f>
        <v/>
      </c>
      <c r="F609" s="55">
        <f>IF('04_DATA'!A606="","",IF(AND(COUNT('04_DATA'!$K606:$AU606)=37,COUNTIF('04_DATA'!$K606:$AU606,INDEX('04_DATA'!$K606:$AU606,1))=37),"EXCLUDE","ok"))</f>
        <v/>
      </c>
      <c r="G609" s="55">
        <f>IF('04_DATA'!A606="","",IF('04_DATA'!D606&lt;PERCENTILE('04_DATA'!$D$2:$D$1001,0.05),"FLAG","ok"))</f>
        <v/>
      </c>
      <c r="H609" s="55">
        <f>IF('04_DATA'!A606="","",IF(OR(C609="EXCLUDE",F609="EXCLUDE"),"Exclude under pre-specified rule",IF(E609&gt;0.15,"Exclude: &gt;15% missing",IF(G609="FLAG","Retain; test in robustness battery","Retain"))))</f>
        <v/>
      </c>
    </row>
    <row r="610">
      <c r="A610" s="55" t="n">
        <v>607</v>
      </c>
      <c r="B610" s="55">
        <f>IF('04_DATA'!A607="","",'04_DATA'!A607)</f>
        <v/>
      </c>
      <c r="C610" s="55">
        <f>IF('04_DATA'!A607="","",IF(AND('04_DATA'!G607=1,'04_DATA'!H607=1,'04_DATA'!I607&gt;=3),"eligible","EXCLUDE"))</f>
        <v/>
      </c>
      <c r="D610" s="55">
        <f>IF('04_DATA'!A607="","",37-COUNT('04_DATA'!$K607:$AU607))</f>
        <v/>
      </c>
      <c r="E610" s="63">
        <f>IF('04_DATA'!A607="","",(37-COUNT('04_DATA'!$K607:$AU607))/37)</f>
        <v/>
      </c>
      <c r="F610" s="55">
        <f>IF('04_DATA'!A607="","",IF(AND(COUNT('04_DATA'!$K607:$AU607)=37,COUNTIF('04_DATA'!$K607:$AU607,INDEX('04_DATA'!$K607:$AU607,1))=37),"EXCLUDE","ok"))</f>
        <v/>
      </c>
      <c r="G610" s="55">
        <f>IF('04_DATA'!A607="","",IF('04_DATA'!D607&lt;PERCENTILE('04_DATA'!$D$2:$D$1001,0.05),"FLAG","ok"))</f>
        <v/>
      </c>
      <c r="H610" s="55">
        <f>IF('04_DATA'!A607="","",IF(OR(C610="EXCLUDE",F610="EXCLUDE"),"Exclude under pre-specified rule",IF(E610&gt;0.15,"Exclude: &gt;15% missing",IF(G610="FLAG","Retain; test in robustness battery","Retain"))))</f>
        <v/>
      </c>
    </row>
    <row r="611">
      <c r="A611" s="55" t="n">
        <v>608</v>
      </c>
      <c r="B611" s="55">
        <f>IF('04_DATA'!A608="","",'04_DATA'!A608)</f>
        <v/>
      </c>
      <c r="C611" s="55">
        <f>IF('04_DATA'!A608="","",IF(AND('04_DATA'!G608=1,'04_DATA'!H608=1,'04_DATA'!I608&gt;=3),"eligible","EXCLUDE"))</f>
        <v/>
      </c>
      <c r="D611" s="55">
        <f>IF('04_DATA'!A608="","",37-COUNT('04_DATA'!$K608:$AU608))</f>
        <v/>
      </c>
      <c r="E611" s="63">
        <f>IF('04_DATA'!A608="","",(37-COUNT('04_DATA'!$K608:$AU608))/37)</f>
        <v/>
      </c>
      <c r="F611" s="55">
        <f>IF('04_DATA'!A608="","",IF(AND(COUNT('04_DATA'!$K608:$AU608)=37,COUNTIF('04_DATA'!$K608:$AU608,INDEX('04_DATA'!$K608:$AU608,1))=37),"EXCLUDE","ok"))</f>
        <v/>
      </c>
      <c r="G611" s="55">
        <f>IF('04_DATA'!A608="","",IF('04_DATA'!D608&lt;PERCENTILE('04_DATA'!$D$2:$D$1001,0.05),"FLAG","ok"))</f>
        <v/>
      </c>
      <c r="H611" s="55">
        <f>IF('04_DATA'!A608="","",IF(OR(C611="EXCLUDE",F611="EXCLUDE"),"Exclude under pre-specified rule",IF(E611&gt;0.15,"Exclude: &gt;15% missing",IF(G611="FLAG","Retain; test in robustness battery","Retain"))))</f>
        <v/>
      </c>
    </row>
    <row r="612">
      <c r="A612" s="55" t="n">
        <v>609</v>
      </c>
      <c r="B612" s="55">
        <f>IF('04_DATA'!A609="","",'04_DATA'!A609)</f>
        <v/>
      </c>
      <c r="C612" s="55">
        <f>IF('04_DATA'!A609="","",IF(AND('04_DATA'!G609=1,'04_DATA'!H609=1,'04_DATA'!I609&gt;=3),"eligible","EXCLUDE"))</f>
        <v/>
      </c>
      <c r="D612" s="55">
        <f>IF('04_DATA'!A609="","",37-COUNT('04_DATA'!$K609:$AU609))</f>
        <v/>
      </c>
      <c r="E612" s="63">
        <f>IF('04_DATA'!A609="","",(37-COUNT('04_DATA'!$K609:$AU609))/37)</f>
        <v/>
      </c>
      <c r="F612" s="55">
        <f>IF('04_DATA'!A609="","",IF(AND(COUNT('04_DATA'!$K609:$AU609)=37,COUNTIF('04_DATA'!$K609:$AU609,INDEX('04_DATA'!$K609:$AU609,1))=37),"EXCLUDE","ok"))</f>
        <v/>
      </c>
      <c r="G612" s="55">
        <f>IF('04_DATA'!A609="","",IF('04_DATA'!D609&lt;PERCENTILE('04_DATA'!$D$2:$D$1001,0.05),"FLAG","ok"))</f>
        <v/>
      </c>
      <c r="H612" s="55">
        <f>IF('04_DATA'!A609="","",IF(OR(C612="EXCLUDE",F612="EXCLUDE"),"Exclude under pre-specified rule",IF(E612&gt;0.15,"Exclude: &gt;15% missing",IF(G612="FLAG","Retain; test in robustness battery","Retain"))))</f>
        <v/>
      </c>
    </row>
    <row r="613">
      <c r="A613" s="55" t="n">
        <v>610</v>
      </c>
      <c r="B613" s="55">
        <f>IF('04_DATA'!A610="","",'04_DATA'!A610)</f>
        <v/>
      </c>
      <c r="C613" s="55">
        <f>IF('04_DATA'!A610="","",IF(AND('04_DATA'!G610=1,'04_DATA'!H610=1,'04_DATA'!I610&gt;=3),"eligible","EXCLUDE"))</f>
        <v/>
      </c>
      <c r="D613" s="55">
        <f>IF('04_DATA'!A610="","",37-COUNT('04_DATA'!$K610:$AU610))</f>
        <v/>
      </c>
      <c r="E613" s="63">
        <f>IF('04_DATA'!A610="","",(37-COUNT('04_DATA'!$K610:$AU610))/37)</f>
        <v/>
      </c>
      <c r="F613" s="55">
        <f>IF('04_DATA'!A610="","",IF(AND(COUNT('04_DATA'!$K610:$AU610)=37,COUNTIF('04_DATA'!$K610:$AU610,INDEX('04_DATA'!$K610:$AU610,1))=37),"EXCLUDE","ok"))</f>
        <v/>
      </c>
      <c r="G613" s="55">
        <f>IF('04_DATA'!A610="","",IF('04_DATA'!D610&lt;PERCENTILE('04_DATA'!$D$2:$D$1001,0.05),"FLAG","ok"))</f>
        <v/>
      </c>
      <c r="H613" s="55">
        <f>IF('04_DATA'!A610="","",IF(OR(C613="EXCLUDE",F613="EXCLUDE"),"Exclude under pre-specified rule",IF(E613&gt;0.15,"Exclude: &gt;15% missing",IF(G613="FLAG","Retain; test in robustness battery","Retain"))))</f>
        <v/>
      </c>
    </row>
    <row r="614">
      <c r="A614" s="55" t="n">
        <v>611</v>
      </c>
      <c r="B614" s="55">
        <f>IF('04_DATA'!A611="","",'04_DATA'!A611)</f>
        <v/>
      </c>
      <c r="C614" s="55">
        <f>IF('04_DATA'!A611="","",IF(AND('04_DATA'!G611=1,'04_DATA'!H611=1,'04_DATA'!I611&gt;=3),"eligible","EXCLUDE"))</f>
        <v/>
      </c>
      <c r="D614" s="55">
        <f>IF('04_DATA'!A611="","",37-COUNT('04_DATA'!$K611:$AU611))</f>
        <v/>
      </c>
      <c r="E614" s="63">
        <f>IF('04_DATA'!A611="","",(37-COUNT('04_DATA'!$K611:$AU611))/37)</f>
        <v/>
      </c>
      <c r="F614" s="55">
        <f>IF('04_DATA'!A611="","",IF(AND(COUNT('04_DATA'!$K611:$AU611)=37,COUNTIF('04_DATA'!$K611:$AU611,INDEX('04_DATA'!$K611:$AU611,1))=37),"EXCLUDE","ok"))</f>
        <v/>
      </c>
      <c r="G614" s="55">
        <f>IF('04_DATA'!A611="","",IF('04_DATA'!D611&lt;PERCENTILE('04_DATA'!$D$2:$D$1001,0.05),"FLAG","ok"))</f>
        <v/>
      </c>
      <c r="H614" s="55">
        <f>IF('04_DATA'!A611="","",IF(OR(C614="EXCLUDE",F614="EXCLUDE"),"Exclude under pre-specified rule",IF(E614&gt;0.15,"Exclude: &gt;15% missing",IF(G614="FLAG","Retain; test in robustness battery","Retain"))))</f>
        <v/>
      </c>
    </row>
    <row r="615">
      <c r="A615" s="55" t="n">
        <v>612</v>
      </c>
      <c r="B615" s="55">
        <f>IF('04_DATA'!A612="","",'04_DATA'!A612)</f>
        <v/>
      </c>
      <c r="C615" s="55">
        <f>IF('04_DATA'!A612="","",IF(AND('04_DATA'!G612=1,'04_DATA'!H612=1,'04_DATA'!I612&gt;=3),"eligible","EXCLUDE"))</f>
        <v/>
      </c>
      <c r="D615" s="55">
        <f>IF('04_DATA'!A612="","",37-COUNT('04_DATA'!$K612:$AU612))</f>
        <v/>
      </c>
      <c r="E615" s="63">
        <f>IF('04_DATA'!A612="","",(37-COUNT('04_DATA'!$K612:$AU612))/37)</f>
        <v/>
      </c>
      <c r="F615" s="55">
        <f>IF('04_DATA'!A612="","",IF(AND(COUNT('04_DATA'!$K612:$AU612)=37,COUNTIF('04_DATA'!$K612:$AU612,INDEX('04_DATA'!$K612:$AU612,1))=37),"EXCLUDE","ok"))</f>
        <v/>
      </c>
      <c r="G615" s="55">
        <f>IF('04_DATA'!A612="","",IF('04_DATA'!D612&lt;PERCENTILE('04_DATA'!$D$2:$D$1001,0.05),"FLAG","ok"))</f>
        <v/>
      </c>
      <c r="H615" s="55">
        <f>IF('04_DATA'!A612="","",IF(OR(C615="EXCLUDE",F615="EXCLUDE"),"Exclude under pre-specified rule",IF(E615&gt;0.15,"Exclude: &gt;15% missing",IF(G615="FLAG","Retain; test in robustness battery","Retain"))))</f>
        <v/>
      </c>
    </row>
    <row r="616">
      <c r="A616" s="55" t="n">
        <v>613</v>
      </c>
      <c r="B616" s="55">
        <f>IF('04_DATA'!A613="","",'04_DATA'!A613)</f>
        <v/>
      </c>
      <c r="C616" s="55">
        <f>IF('04_DATA'!A613="","",IF(AND('04_DATA'!G613=1,'04_DATA'!H613=1,'04_DATA'!I613&gt;=3),"eligible","EXCLUDE"))</f>
        <v/>
      </c>
      <c r="D616" s="55">
        <f>IF('04_DATA'!A613="","",37-COUNT('04_DATA'!$K613:$AU613))</f>
        <v/>
      </c>
      <c r="E616" s="63">
        <f>IF('04_DATA'!A613="","",(37-COUNT('04_DATA'!$K613:$AU613))/37)</f>
        <v/>
      </c>
      <c r="F616" s="55">
        <f>IF('04_DATA'!A613="","",IF(AND(COUNT('04_DATA'!$K613:$AU613)=37,COUNTIF('04_DATA'!$K613:$AU613,INDEX('04_DATA'!$K613:$AU613,1))=37),"EXCLUDE","ok"))</f>
        <v/>
      </c>
      <c r="G616" s="55">
        <f>IF('04_DATA'!A613="","",IF('04_DATA'!D613&lt;PERCENTILE('04_DATA'!$D$2:$D$1001,0.05),"FLAG","ok"))</f>
        <v/>
      </c>
      <c r="H616" s="55">
        <f>IF('04_DATA'!A613="","",IF(OR(C616="EXCLUDE",F616="EXCLUDE"),"Exclude under pre-specified rule",IF(E616&gt;0.15,"Exclude: &gt;15% missing",IF(G616="FLAG","Retain; test in robustness battery","Retain"))))</f>
        <v/>
      </c>
    </row>
    <row r="617">
      <c r="A617" s="55" t="n">
        <v>614</v>
      </c>
      <c r="B617" s="55">
        <f>IF('04_DATA'!A614="","",'04_DATA'!A614)</f>
        <v/>
      </c>
      <c r="C617" s="55">
        <f>IF('04_DATA'!A614="","",IF(AND('04_DATA'!G614=1,'04_DATA'!H614=1,'04_DATA'!I614&gt;=3),"eligible","EXCLUDE"))</f>
        <v/>
      </c>
      <c r="D617" s="55">
        <f>IF('04_DATA'!A614="","",37-COUNT('04_DATA'!$K614:$AU614))</f>
        <v/>
      </c>
      <c r="E617" s="63">
        <f>IF('04_DATA'!A614="","",(37-COUNT('04_DATA'!$K614:$AU614))/37)</f>
        <v/>
      </c>
      <c r="F617" s="55">
        <f>IF('04_DATA'!A614="","",IF(AND(COUNT('04_DATA'!$K614:$AU614)=37,COUNTIF('04_DATA'!$K614:$AU614,INDEX('04_DATA'!$K614:$AU614,1))=37),"EXCLUDE","ok"))</f>
        <v/>
      </c>
      <c r="G617" s="55">
        <f>IF('04_DATA'!A614="","",IF('04_DATA'!D614&lt;PERCENTILE('04_DATA'!$D$2:$D$1001,0.05),"FLAG","ok"))</f>
        <v/>
      </c>
      <c r="H617" s="55">
        <f>IF('04_DATA'!A614="","",IF(OR(C617="EXCLUDE",F617="EXCLUDE"),"Exclude under pre-specified rule",IF(E617&gt;0.15,"Exclude: &gt;15% missing",IF(G617="FLAG","Retain; test in robustness battery","Retain"))))</f>
        <v/>
      </c>
    </row>
    <row r="618">
      <c r="A618" s="55" t="n">
        <v>615</v>
      </c>
      <c r="B618" s="55">
        <f>IF('04_DATA'!A615="","",'04_DATA'!A615)</f>
        <v/>
      </c>
      <c r="C618" s="55">
        <f>IF('04_DATA'!A615="","",IF(AND('04_DATA'!G615=1,'04_DATA'!H615=1,'04_DATA'!I615&gt;=3),"eligible","EXCLUDE"))</f>
        <v/>
      </c>
      <c r="D618" s="55">
        <f>IF('04_DATA'!A615="","",37-COUNT('04_DATA'!$K615:$AU615))</f>
        <v/>
      </c>
      <c r="E618" s="63">
        <f>IF('04_DATA'!A615="","",(37-COUNT('04_DATA'!$K615:$AU615))/37)</f>
        <v/>
      </c>
      <c r="F618" s="55">
        <f>IF('04_DATA'!A615="","",IF(AND(COUNT('04_DATA'!$K615:$AU615)=37,COUNTIF('04_DATA'!$K615:$AU615,INDEX('04_DATA'!$K615:$AU615,1))=37),"EXCLUDE","ok"))</f>
        <v/>
      </c>
      <c r="G618" s="55">
        <f>IF('04_DATA'!A615="","",IF('04_DATA'!D615&lt;PERCENTILE('04_DATA'!$D$2:$D$1001,0.05),"FLAG","ok"))</f>
        <v/>
      </c>
      <c r="H618" s="55">
        <f>IF('04_DATA'!A615="","",IF(OR(C618="EXCLUDE",F618="EXCLUDE"),"Exclude under pre-specified rule",IF(E618&gt;0.15,"Exclude: &gt;15% missing",IF(G618="FLAG","Retain; test in robustness battery","Retain"))))</f>
        <v/>
      </c>
    </row>
    <row r="619">
      <c r="A619" s="55" t="n">
        <v>616</v>
      </c>
      <c r="B619" s="55">
        <f>IF('04_DATA'!A616="","",'04_DATA'!A616)</f>
        <v/>
      </c>
      <c r="C619" s="55">
        <f>IF('04_DATA'!A616="","",IF(AND('04_DATA'!G616=1,'04_DATA'!H616=1,'04_DATA'!I616&gt;=3),"eligible","EXCLUDE"))</f>
        <v/>
      </c>
      <c r="D619" s="55">
        <f>IF('04_DATA'!A616="","",37-COUNT('04_DATA'!$K616:$AU616))</f>
        <v/>
      </c>
      <c r="E619" s="63">
        <f>IF('04_DATA'!A616="","",(37-COUNT('04_DATA'!$K616:$AU616))/37)</f>
        <v/>
      </c>
      <c r="F619" s="55">
        <f>IF('04_DATA'!A616="","",IF(AND(COUNT('04_DATA'!$K616:$AU616)=37,COUNTIF('04_DATA'!$K616:$AU616,INDEX('04_DATA'!$K616:$AU616,1))=37),"EXCLUDE","ok"))</f>
        <v/>
      </c>
      <c r="G619" s="55">
        <f>IF('04_DATA'!A616="","",IF('04_DATA'!D616&lt;PERCENTILE('04_DATA'!$D$2:$D$1001,0.05),"FLAG","ok"))</f>
        <v/>
      </c>
      <c r="H619" s="55">
        <f>IF('04_DATA'!A616="","",IF(OR(C619="EXCLUDE",F619="EXCLUDE"),"Exclude under pre-specified rule",IF(E619&gt;0.15,"Exclude: &gt;15% missing",IF(G619="FLAG","Retain; test in robustness battery","Retain"))))</f>
        <v/>
      </c>
    </row>
    <row r="620">
      <c r="A620" s="55" t="n">
        <v>617</v>
      </c>
      <c r="B620" s="55">
        <f>IF('04_DATA'!A617="","",'04_DATA'!A617)</f>
        <v/>
      </c>
      <c r="C620" s="55">
        <f>IF('04_DATA'!A617="","",IF(AND('04_DATA'!G617=1,'04_DATA'!H617=1,'04_DATA'!I617&gt;=3),"eligible","EXCLUDE"))</f>
        <v/>
      </c>
      <c r="D620" s="55">
        <f>IF('04_DATA'!A617="","",37-COUNT('04_DATA'!$K617:$AU617))</f>
        <v/>
      </c>
      <c r="E620" s="63">
        <f>IF('04_DATA'!A617="","",(37-COUNT('04_DATA'!$K617:$AU617))/37)</f>
        <v/>
      </c>
      <c r="F620" s="55">
        <f>IF('04_DATA'!A617="","",IF(AND(COUNT('04_DATA'!$K617:$AU617)=37,COUNTIF('04_DATA'!$K617:$AU617,INDEX('04_DATA'!$K617:$AU617,1))=37),"EXCLUDE","ok"))</f>
        <v/>
      </c>
      <c r="G620" s="55">
        <f>IF('04_DATA'!A617="","",IF('04_DATA'!D617&lt;PERCENTILE('04_DATA'!$D$2:$D$1001,0.05),"FLAG","ok"))</f>
        <v/>
      </c>
      <c r="H620" s="55">
        <f>IF('04_DATA'!A617="","",IF(OR(C620="EXCLUDE",F620="EXCLUDE"),"Exclude under pre-specified rule",IF(E620&gt;0.15,"Exclude: &gt;15% missing",IF(G620="FLAG","Retain; test in robustness battery","Retain"))))</f>
        <v/>
      </c>
    </row>
    <row r="621">
      <c r="A621" s="55" t="n">
        <v>618</v>
      </c>
      <c r="B621" s="55">
        <f>IF('04_DATA'!A618="","",'04_DATA'!A618)</f>
        <v/>
      </c>
      <c r="C621" s="55">
        <f>IF('04_DATA'!A618="","",IF(AND('04_DATA'!G618=1,'04_DATA'!H618=1,'04_DATA'!I618&gt;=3),"eligible","EXCLUDE"))</f>
        <v/>
      </c>
      <c r="D621" s="55">
        <f>IF('04_DATA'!A618="","",37-COUNT('04_DATA'!$K618:$AU618))</f>
        <v/>
      </c>
      <c r="E621" s="63">
        <f>IF('04_DATA'!A618="","",(37-COUNT('04_DATA'!$K618:$AU618))/37)</f>
        <v/>
      </c>
      <c r="F621" s="55">
        <f>IF('04_DATA'!A618="","",IF(AND(COUNT('04_DATA'!$K618:$AU618)=37,COUNTIF('04_DATA'!$K618:$AU618,INDEX('04_DATA'!$K618:$AU618,1))=37),"EXCLUDE","ok"))</f>
        <v/>
      </c>
      <c r="G621" s="55">
        <f>IF('04_DATA'!A618="","",IF('04_DATA'!D618&lt;PERCENTILE('04_DATA'!$D$2:$D$1001,0.05),"FLAG","ok"))</f>
        <v/>
      </c>
      <c r="H621" s="55">
        <f>IF('04_DATA'!A618="","",IF(OR(C621="EXCLUDE",F621="EXCLUDE"),"Exclude under pre-specified rule",IF(E621&gt;0.15,"Exclude: &gt;15% missing",IF(G621="FLAG","Retain; test in robustness battery","Retain"))))</f>
        <v/>
      </c>
    </row>
    <row r="622">
      <c r="A622" s="55" t="n">
        <v>619</v>
      </c>
      <c r="B622" s="55">
        <f>IF('04_DATA'!A619="","",'04_DATA'!A619)</f>
        <v/>
      </c>
      <c r="C622" s="55">
        <f>IF('04_DATA'!A619="","",IF(AND('04_DATA'!G619=1,'04_DATA'!H619=1,'04_DATA'!I619&gt;=3),"eligible","EXCLUDE"))</f>
        <v/>
      </c>
      <c r="D622" s="55">
        <f>IF('04_DATA'!A619="","",37-COUNT('04_DATA'!$K619:$AU619))</f>
        <v/>
      </c>
      <c r="E622" s="63">
        <f>IF('04_DATA'!A619="","",(37-COUNT('04_DATA'!$K619:$AU619))/37)</f>
        <v/>
      </c>
      <c r="F622" s="55">
        <f>IF('04_DATA'!A619="","",IF(AND(COUNT('04_DATA'!$K619:$AU619)=37,COUNTIF('04_DATA'!$K619:$AU619,INDEX('04_DATA'!$K619:$AU619,1))=37),"EXCLUDE","ok"))</f>
        <v/>
      </c>
      <c r="G622" s="55">
        <f>IF('04_DATA'!A619="","",IF('04_DATA'!D619&lt;PERCENTILE('04_DATA'!$D$2:$D$1001,0.05),"FLAG","ok"))</f>
        <v/>
      </c>
      <c r="H622" s="55">
        <f>IF('04_DATA'!A619="","",IF(OR(C622="EXCLUDE",F622="EXCLUDE"),"Exclude under pre-specified rule",IF(E622&gt;0.15,"Exclude: &gt;15% missing",IF(G622="FLAG","Retain; test in robustness battery","Retain"))))</f>
        <v/>
      </c>
    </row>
    <row r="623">
      <c r="A623" s="55" t="n">
        <v>620</v>
      </c>
      <c r="B623" s="55">
        <f>IF('04_DATA'!A620="","",'04_DATA'!A620)</f>
        <v/>
      </c>
      <c r="C623" s="55">
        <f>IF('04_DATA'!A620="","",IF(AND('04_DATA'!G620=1,'04_DATA'!H620=1,'04_DATA'!I620&gt;=3),"eligible","EXCLUDE"))</f>
        <v/>
      </c>
      <c r="D623" s="55">
        <f>IF('04_DATA'!A620="","",37-COUNT('04_DATA'!$K620:$AU620))</f>
        <v/>
      </c>
      <c r="E623" s="63">
        <f>IF('04_DATA'!A620="","",(37-COUNT('04_DATA'!$K620:$AU620))/37)</f>
        <v/>
      </c>
      <c r="F623" s="55">
        <f>IF('04_DATA'!A620="","",IF(AND(COUNT('04_DATA'!$K620:$AU620)=37,COUNTIF('04_DATA'!$K620:$AU620,INDEX('04_DATA'!$K620:$AU620,1))=37),"EXCLUDE","ok"))</f>
        <v/>
      </c>
      <c r="G623" s="55">
        <f>IF('04_DATA'!A620="","",IF('04_DATA'!D620&lt;PERCENTILE('04_DATA'!$D$2:$D$1001,0.05),"FLAG","ok"))</f>
        <v/>
      </c>
      <c r="H623" s="55">
        <f>IF('04_DATA'!A620="","",IF(OR(C623="EXCLUDE",F623="EXCLUDE"),"Exclude under pre-specified rule",IF(E623&gt;0.15,"Exclude: &gt;15% missing",IF(G623="FLAG","Retain; test in robustness battery","Retain"))))</f>
        <v/>
      </c>
    </row>
    <row r="624">
      <c r="A624" s="55" t="n">
        <v>621</v>
      </c>
      <c r="B624" s="55">
        <f>IF('04_DATA'!A621="","",'04_DATA'!A621)</f>
        <v/>
      </c>
      <c r="C624" s="55">
        <f>IF('04_DATA'!A621="","",IF(AND('04_DATA'!G621=1,'04_DATA'!H621=1,'04_DATA'!I621&gt;=3),"eligible","EXCLUDE"))</f>
        <v/>
      </c>
      <c r="D624" s="55">
        <f>IF('04_DATA'!A621="","",37-COUNT('04_DATA'!$K621:$AU621))</f>
        <v/>
      </c>
      <c r="E624" s="63">
        <f>IF('04_DATA'!A621="","",(37-COUNT('04_DATA'!$K621:$AU621))/37)</f>
        <v/>
      </c>
      <c r="F624" s="55">
        <f>IF('04_DATA'!A621="","",IF(AND(COUNT('04_DATA'!$K621:$AU621)=37,COUNTIF('04_DATA'!$K621:$AU621,INDEX('04_DATA'!$K621:$AU621,1))=37),"EXCLUDE","ok"))</f>
        <v/>
      </c>
      <c r="G624" s="55">
        <f>IF('04_DATA'!A621="","",IF('04_DATA'!D621&lt;PERCENTILE('04_DATA'!$D$2:$D$1001,0.05),"FLAG","ok"))</f>
        <v/>
      </c>
      <c r="H624" s="55">
        <f>IF('04_DATA'!A621="","",IF(OR(C624="EXCLUDE",F624="EXCLUDE"),"Exclude under pre-specified rule",IF(E624&gt;0.15,"Exclude: &gt;15% missing",IF(G624="FLAG","Retain; test in robustness battery","Retain"))))</f>
        <v/>
      </c>
    </row>
    <row r="625">
      <c r="A625" s="55" t="n">
        <v>622</v>
      </c>
      <c r="B625" s="55">
        <f>IF('04_DATA'!A622="","",'04_DATA'!A622)</f>
        <v/>
      </c>
      <c r="C625" s="55">
        <f>IF('04_DATA'!A622="","",IF(AND('04_DATA'!G622=1,'04_DATA'!H622=1,'04_DATA'!I622&gt;=3),"eligible","EXCLUDE"))</f>
        <v/>
      </c>
      <c r="D625" s="55">
        <f>IF('04_DATA'!A622="","",37-COUNT('04_DATA'!$K622:$AU622))</f>
        <v/>
      </c>
      <c r="E625" s="63">
        <f>IF('04_DATA'!A622="","",(37-COUNT('04_DATA'!$K622:$AU622))/37)</f>
        <v/>
      </c>
      <c r="F625" s="55">
        <f>IF('04_DATA'!A622="","",IF(AND(COUNT('04_DATA'!$K622:$AU622)=37,COUNTIF('04_DATA'!$K622:$AU622,INDEX('04_DATA'!$K622:$AU622,1))=37),"EXCLUDE","ok"))</f>
        <v/>
      </c>
      <c r="G625" s="55">
        <f>IF('04_DATA'!A622="","",IF('04_DATA'!D622&lt;PERCENTILE('04_DATA'!$D$2:$D$1001,0.05),"FLAG","ok"))</f>
        <v/>
      </c>
      <c r="H625" s="55">
        <f>IF('04_DATA'!A622="","",IF(OR(C625="EXCLUDE",F625="EXCLUDE"),"Exclude under pre-specified rule",IF(E625&gt;0.15,"Exclude: &gt;15% missing",IF(G625="FLAG","Retain; test in robustness battery","Retain"))))</f>
        <v/>
      </c>
    </row>
    <row r="626">
      <c r="A626" s="55" t="n">
        <v>623</v>
      </c>
      <c r="B626" s="55">
        <f>IF('04_DATA'!A623="","",'04_DATA'!A623)</f>
        <v/>
      </c>
      <c r="C626" s="55">
        <f>IF('04_DATA'!A623="","",IF(AND('04_DATA'!G623=1,'04_DATA'!H623=1,'04_DATA'!I623&gt;=3),"eligible","EXCLUDE"))</f>
        <v/>
      </c>
      <c r="D626" s="55">
        <f>IF('04_DATA'!A623="","",37-COUNT('04_DATA'!$K623:$AU623))</f>
        <v/>
      </c>
      <c r="E626" s="63">
        <f>IF('04_DATA'!A623="","",(37-COUNT('04_DATA'!$K623:$AU623))/37)</f>
        <v/>
      </c>
      <c r="F626" s="55">
        <f>IF('04_DATA'!A623="","",IF(AND(COUNT('04_DATA'!$K623:$AU623)=37,COUNTIF('04_DATA'!$K623:$AU623,INDEX('04_DATA'!$K623:$AU623,1))=37),"EXCLUDE","ok"))</f>
        <v/>
      </c>
      <c r="G626" s="55">
        <f>IF('04_DATA'!A623="","",IF('04_DATA'!D623&lt;PERCENTILE('04_DATA'!$D$2:$D$1001,0.05),"FLAG","ok"))</f>
        <v/>
      </c>
      <c r="H626" s="55">
        <f>IF('04_DATA'!A623="","",IF(OR(C626="EXCLUDE",F626="EXCLUDE"),"Exclude under pre-specified rule",IF(E626&gt;0.15,"Exclude: &gt;15% missing",IF(G626="FLAG","Retain; test in robustness battery","Retain"))))</f>
        <v/>
      </c>
    </row>
    <row r="627">
      <c r="A627" s="55" t="n">
        <v>624</v>
      </c>
      <c r="B627" s="55">
        <f>IF('04_DATA'!A624="","",'04_DATA'!A624)</f>
        <v/>
      </c>
      <c r="C627" s="55">
        <f>IF('04_DATA'!A624="","",IF(AND('04_DATA'!G624=1,'04_DATA'!H624=1,'04_DATA'!I624&gt;=3),"eligible","EXCLUDE"))</f>
        <v/>
      </c>
      <c r="D627" s="55">
        <f>IF('04_DATA'!A624="","",37-COUNT('04_DATA'!$K624:$AU624))</f>
        <v/>
      </c>
      <c r="E627" s="63">
        <f>IF('04_DATA'!A624="","",(37-COUNT('04_DATA'!$K624:$AU624))/37)</f>
        <v/>
      </c>
      <c r="F627" s="55">
        <f>IF('04_DATA'!A624="","",IF(AND(COUNT('04_DATA'!$K624:$AU624)=37,COUNTIF('04_DATA'!$K624:$AU624,INDEX('04_DATA'!$K624:$AU624,1))=37),"EXCLUDE","ok"))</f>
        <v/>
      </c>
      <c r="G627" s="55">
        <f>IF('04_DATA'!A624="","",IF('04_DATA'!D624&lt;PERCENTILE('04_DATA'!$D$2:$D$1001,0.05),"FLAG","ok"))</f>
        <v/>
      </c>
      <c r="H627" s="55">
        <f>IF('04_DATA'!A624="","",IF(OR(C627="EXCLUDE",F627="EXCLUDE"),"Exclude under pre-specified rule",IF(E627&gt;0.15,"Exclude: &gt;15% missing",IF(G627="FLAG","Retain; test in robustness battery","Retain"))))</f>
        <v/>
      </c>
    </row>
    <row r="628">
      <c r="A628" s="55" t="n">
        <v>625</v>
      </c>
      <c r="B628" s="55">
        <f>IF('04_DATA'!A625="","",'04_DATA'!A625)</f>
        <v/>
      </c>
      <c r="C628" s="55">
        <f>IF('04_DATA'!A625="","",IF(AND('04_DATA'!G625=1,'04_DATA'!H625=1,'04_DATA'!I625&gt;=3),"eligible","EXCLUDE"))</f>
        <v/>
      </c>
      <c r="D628" s="55">
        <f>IF('04_DATA'!A625="","",37-COUNT('04_DATA'!$K625:$AU625))</f>
        <v/>
      </c>
      <c r="E628" s="63">
        <f>IF('04_DATA'!A625="","",(37-COUNT('04_DATA'!$K625:$AU625))/37)</f>
        <v/>
      </c>
      <c r="F628" s="55">
        <f>IF('04_DATA'!A625="","",IF(AND(COUNT('04_DATA'!$K625:$AU625)=37,COUNTIF('04_DATA'!$K625:$AU625,INDEX('04_DATA'!$K625:$AU625,1))=37),"EXCLUDE","ok"))</f>
        <v/>
      </c>
      <c r="G628" s="55">
        <f>IF('04_DATA'!A625="","",IF('04_DATA'!D625&lt;PERCENTILE('04_DATA'!$D$2:$D$1001,0.05),"FLAG","ok"))</f>
        <v/>
      </c>
      <c r="H628" s="55">
        <f>IF('04_DATA'!A625="","",IF(OR(C628="EXCLUDE",F628="EXCLUDE"),"Exclude under pre-specified rule",IF(E628&gt;0.15,"Exclude: &gt;15% missing",IF(G628="FLAG","Retain; test in robustness battery","Retain"))))</f>
        <v/>
      </c>
    </row>
    <row r="629">
      <c r="A629" s="55" t="n">
        <v>626</v>
      </c>
      <c r="B629" s="55">
        <f>IF('04_DATA'!A626="","",'04_DATA'!A626)</f>
        <v/>
      </c>
      <c r="C629" s="55">
        <f>IF('04_DATA'!A626="","",IF(AND('04_DATA'!G626=1,'04_DATA'!H626=1,'04_DATA'!I626&gt;=3),"eligible","EXCLUDE"))</f>
        <v/>
      </c>
      <c r="D629" s="55">
        <f>IF('04_DATA'!A626="","",37-COUNT('04_DATA'!$K626:$AU626))</f>
        <v/>
      </c>
      <c r="E629" s="63">
        <f>IF('04_DATA'!A626="","",(37-COUNT('04_DATA'!$K626:$AU626))/37)</f>
        <v/>
      </c>
      <c r="F629" s="55">
        <f>IF('04_DATA'!A626="","",IF(AND(COUNT('04_DATA'!$K626:$AU626)=37,COUNTIF('04_DATA'!$K626:$AU626,INDEX('04_DATA'!$K626:$AU626,1))=37),"EXCLUDE","ok"))</f>
        <v/>
      </c>
      <c r="G629" s="55">
        <f>IF('04_DATA'!A626="","",IF('04_DATA'!D626&lt;PERCENTILE('04_DATA'!$D$2:$D$1001,0.05),"FLAG","ok"))</f>
        <v/>
      </c>
      <c r="H629" s="55">
        <f>IF('04_DATA'!A626="","",IF(OR(C629="EXCLUDE",F629="EXCLUDE"),"Exclude under pre-specified rule",IF(E629&gt;0.15,"Exclude: &gt;15% missing",IF(G629="FLAG","Retain; test in robustness battery","Retain"))))</f>
        <v/>
      </c>
    </row>
    <row r="630">
      <c r="A630" s="55" t="n">
        <v>627</v>
      </c>
      <c r="B630" s="55">
        <f>IF('04_DATA'!A627="","",'04_DATA'!A627)</f>
        <v/>
      </c>
      <c r="C630" s="55">
        <f>IF('04_DATA'!A627="","",IF(AND('04_DATA'!G627=1,'04_DATA'!H627=1,'04_DATA'!I627&gt;=3),"eligible","EXCLUDE"))</f>
        <v/>
      </c>
      <c r="D630" s="55">
        <f>IF('04_DATA'!A627="","",37-COUNT('04_DATA'!$K627:$AU627))</f>
        <v/>
      </c>
      <c r="E630" s="63">
        <f>IF('04_DATA'!A627="","",(37-COUNT('04_DATA'!$K627:$AU627))/37)</f>
        <v/>
      </c>
      <c r="F630" s="55">
        <f>IF('04_DATA'!A627="","",IF(AND(COUNT('04_DATA'!$K627:$AU627)=37,COUNTIF('04_DATA'!$K627:$AU627,INDEX('04_DATA'!$K627:$AU627,1))=37),"EXCLUDE","ok"))</f>
        <v/>
      </c>
      <c r="G630" s="55">
        <f>IF('04_DATA'!A627="","",IF('04_DATA'!D627&lt;PERCENTILE('04_DATA'!$D$2:$D$1001,0.05),"FLAG","ok"))</f>
        <v/>
      </c>
      <c r="H630" s="55">
        <f>IF('04_DATA'!A627="","",IF(OR(C630="EXCLUDE",F630="EXCLUDE"),"Exclude under pre-specified rule",IF(E630&gt;0.15,"Exclude: &gt;15% missing",IF(G630="FLAG","Retain; test in robustness battery","Retain"))))</f>
        <v/>
      </c>
    </row>
    <row r="631">
      <c r="A631" s="55" t="n">
        <v>628</v>
      </c>
      <c r="B631" s="55">
        <f>IF('04_DATA'!A628="","",'04_DATA'!A628)</f>
        <v/>
      </c>
      <c r="C631" s="55">
        <f>IF('04_DATA'!A628="","",IF(AND('04_DATA'!G628=1,'04_DATA'!H628=1,'04_DATA'!I628&gt;=3),"eligible","EXCLUDE"))</f>
        <v/>
      </c>
      <c r="D631" s="55">
        <f>IF('04_DATA'!A628="","",37-COUNT('04_DATA'!$K628:$AU628))</f>
        <v/>
      </c>
      <c r="E631" s="63">
        <f>IF('04_DATA'!A628="","",(37-COUNT('04_DATA'!$K628:$AU628))/37)</f>
        <v/>
      </c>
      <c r="F631" s="55">
        <f>IF('04_DATA'!A628="","",IF(AND(COUNT('04_DATA'!$K628:$AU628)=37,COUNTIF('04_DATA'!$K628:$AU628,INDEX('04_DATA'!$K628:$AU628,1))=37),"EXCLUDE","ok"))</f>
        <v/>
      </c>
      <c r="G631" s="55">
        <f>IF('04_DATA'!A628="","",IF('04_DATA'!D628&lt;PERCENTILE('04_DATA'!$D$2:$D$1001,0.05),"FLAG","ok"))</f>
        <v/>
      </c>
      <c r="H631" s="55">
        <f>IF('04_DATA'!A628="","",IF(OR(C631="EXCLUDE",F631="EXCLUDE"),"Exclude under pre-specified rule",IF(E631&gt;0.15,"Exclude: &gt;15% missing",IF(G631="FLAG","Retain; test in robustness battery","Retain"))))</f>
        <v/>
      </c>
    </row>
    <row r="632">
      <c r="A632" s="55" t="n">
        <v>629</v>
      </c>
      <c r="B632" s="55">
        <f>IF('04_DATA'!A629="","",'04_DATA'!A629)</f>
        <v/>
      </c>
      <c r="C632" s="55">
        <f>IF('04_DATA'!A629="","",IF(AND('04_DATA'!G629=1,'04_DATA'!H629=1,'04_DATA'!I629&gt;=3),"eligible","EXCLUDE"))</f>
        <v/>
      </c>
      <c r="D632" s="55">
        <f>IF('04_DATA'!A629="","",37-COUNT('04_DATA'!$K629:$AU629))</f>
        <v/>
      </c>
      <c r="E632" s="63">
        <f>IF('04_DATA'!A629="","",(37-COUNT('04_DATA'!$K629:$AU629))/37)</f>
        <v/>
      </c>
      <c r="F632" s="55">
        <f>IF('04_DATA'!A629="","",IF(AND(COUNT('04_DATA'!$K629:$AU629)=37,COUNTIF('04_DATA'!$K629:$AU629,INDEX('04_DATA'!$K629:$AU629,1))=37),"EXCLUDE","ok"))</f>
        <v/>
      </c>
      <c r="G632" s="55">
        <f>IF('04_DATA'!A629="","",IF('04_DATA'!D629&lt;PERCENTILE('04_DATA'!$D$2:$D$1001,0.05),"FLAG","ok"))</f>
        <v/>
      </c>
      <c r="H632" s="55">
        <f>IF('04_DATA'!A629="","",IF(OR(C632="EXCLUDE",F632="EXCLUDE"),"Exclude under pre-specified rule",IF(E632&gt;0.15,"Exclude: &gt;15% missing",IF(G632="FLAG","Retain; test in robustness battery","Retain"))))</f>
        <v/>
      </c>
    </row>
    <row r="633">
      <c r="A633" s="55" t="n">
        <v>630</v>
      </c>
      <c r="B633" s="55">
        <f>IF('04_DATA'!A630="","",'04_DATA'!A630)</f>
        <v/>
      </c>
      <c r="C633" s="55">
        <f>IF('04_DATA'!A630="","",IF(AND('04_DATA'!G630=1,'04_DATA'!H630=1,'04_DATA'!I630&gt;=3),"eligible","EXCLUDE"))</f>
        <v/>
      </c>
      <c r="D633" s="55">
        <f>IF('04_DATA'!A630="","",37-COUNT('04_DATA'!$K630:$AU630))</f>
        <v/>
      </c>
      <c r="E633" s="63">
        <f>IF('04_DATA'!A630="","",(37-COUNT('04_DATA'!$K630:$AU630))/37)</f>
        <v/>
      </c>
      <c r="F633" s="55">
        <f>IF('04_DATA'!A630="","",IF(AND(COUNT('04_DATA'!$K630:$AU630)=37,COUNTIF('04_DATA'!$K630:$AU630,INDEX('04_DATA'!$K630:$AU630,1))=37),"EXCLUDE","ok"))</f>
        <v/>
      </c>
      <c r="G633" s="55">
        <f>IF('04_DATA'!A630="","",IF('04_DATA'!D630&lt;PERCENTILE('04_DATA'!$D$2:$D$1001,0.05),"FLAG","ok"))</f>
        <v/>
      </c>
      <c r="H633" s="55">
        <f>IF('04_DATA'!A630="","",IF(OR(C633="EXCLUDE",F633="EXCLUDE"),"Exclude under pre-specified rule",IF(E633&gt;0.15,"Exclude: &gt;15% missing",IF(G633="FLAG","Retain; test in robustness battery","Retain"))))</f>
        <v/>
      </c>
    </row>
    <row r="634">
      <c r="A634" s="55" t="n">
        <v>631</v>
      </c>
      <c r="B634" s="55">
        <f>IF('04_DATA'!A631="","",'04_DATA'!A631)</f>
        <v/>
      </c>
      <c r="C634" s="55">
        <f>IF('04_DATA'!A631="","",IF(AND('04_DATA'!G631=1,'04_DATA'!H631=1,'04_DATA'!I631&gt;=3),"eligible","EXCLUDE"))</f>
        <v/>
      </c>
      <c r="D634" s="55">
        <f>IF('04_DATA'!A631="","",37-COUNT('04_DATA'!$K631:$AU631))</f>
        <v/>
      </c>
      <c r="E634" s="63">
        <f>IF('04_DATA'!A631="","",(37-COUNT('04_DATA'!$K631:$AU631))/37)</f>
        <v/>
      </c>
      <c r="F634" s="55">
        <f>IF('04_DATA'!A631="","",IF(AND(COUNT('04_DATA'!$K631:$AU631)=37,COUNTIF('04_DATA'!$K631:$AU631,INDEX('04_DATA'!$K631:$AU631,1))=37),"EXCLUDE","ok"))</f>
        <v/>
      </c>
      <c r="G634" s="55">
        <f>IF('04_DATA'!A631="","",IF('04_DATA'!D631&lt;PERCENTILE('04_DATA'!$D$2:$D$1001,0.05),"FLAG","ok"))</f>
        <v/>
      </c>
      <c r="H634" s="55">
        <f>IF('04_DATA'!A631="","",IF(OR(C634="EXCLUDE",F634="EXCLUDE"),"Exclude under pre-specified rule",IF(E634&gt;0.15,"Exclude: &gt;15% missing",IF(G634="FLAG","Retain; test in robustness battery","Retain"))))</f>
        <v/>
      </c>
    </row>
    <row r="635">
      <c r="A635" s="55" t="n">
        <v>632</v>
      </c>
      <c r="B635" s="55">
        <f>IF('04_DATA'!A632="","",'04_DATA'!A632)</f>
        <v/>
      </c>
      <c r="C635" s="55">
        <f>IF('04_DATA'!A632="","",IF(AND('04_DATA'!G632=1,'04_DATA'!H632=1,'04_DATA'!I632&gt;=3),"eligible","EXCLUDE"))</f>
        <v/>
      </c>
      <c r="D635" s="55">
        <f>IF('04_DATA'!A632="","",37-COUNT('04_DATA'!$K632:$AU632))</f>
        <v/>
      </c>
      <c r="E635" s="63">
        <f>IF('04_DATA'!A632="","",(37-COUNT('04_DATA'!$K632:$AU632))/37)</f>
        <v/>
      </c>
      <c r="F635" s="55">
        <f>IF('04_DATA'!A632="","",IF(AND(COUNT('04_DATA'!$K632:$AU632)=37,COUNTIF('04_DATA'!$K632:$AU632,INDEX('04_DATA'!$K632:$AU632,1))=37),"EXCLUDE","ok"))</f>
        <v/>
      </c>
      <c r="G635" s="55">
        <f>IF('04_DATA'!A632="","",IF('04_DATA'!D632&lt;PERCENTILE('04_DATA'!$D$2:$D$1001,0.05),"FLAG","ok"))</f>
        <v/>
      </c>
      <c r="H635" s="55">
        <f>IF('04_DATA'!A632="","",IF(OR(C635="EXCLUDE",F635="EXCLUDE"),"Exclude under pre-specified rule",IF(E635&gt;0.15,"Exclude: &gt;15% missing",IF(G635="FLAG","Retain; test in robustness battery","Retain"))))</f>
        <v/>
      </c>
    </row>
    <row r="636">
      <c r="A636" s="55" t="n">
        <v>633</v>
      </c>
      <c r="B636" s="55">
        <f>IF('04_DATA'!A633="","",'04_DATA'!A633)</f>
        <v/>
      </c>
      <c r="C636" s="55">
        <f>IF('04_DATA'!A633="","",IF(AND('04_DATA'!G633=1,'04_DATA'!H633=1,'04_DATA'!I633&gt;=3),"eligible","EXCLUDE"))</f>
        <v/>
      </c>
      <c r="D636" s="55">
        <f>IF('04_DATA'!A633="","",37-COUNT('04_DATA'!$K633:$AU633))</f>
        <v/>
      </c>
      <c r="E636" s="63">
        <f>IF('04_DATA'!A633="","",(37-COUNT('04_DATA'!$K633:$AU633))/37)</f>
        <v/>
      </c>
      <c r="F636" s="55">
        <f>IF('04_DATA'!A633="","",IF(AND(COUNT('04_DATA'!$K633:$AU633)=37,COUNTIF('04_DATA'!$K633:$AU633,INDEX('04_DATA'!$K633:$AU633,1))=37),"EXCLUDE","ok"))</f>
        <v/>
      </c>
      <c r="G636" s="55">
        <f>IF('04_DATA'!A633="","",IF('04_DATA'!D633&lt;PERCENTILE('04_DATA'!$D$2:$D$1001,0.05),"FLAG","ok"))</f>
        <v/>
      </c>
      <c r="H636" s="55">
        <f>IF('04_DATA'!A633="","",IF(OR(C636="EXCLUDE",F636="EXCLUDE"),"Exclude under pre-specified rule",IF(E636&gt;0.15,"Exclude: &gt;15% missing",IF(G636="FLAG","Retain; test in robustness battery","Retain"))))</f>
        <v/>
      </c>
    </row>
    <row r="637">
      <c r="A637" s="55" t="n">
        <v>634</v>
      </c>
      <c r="B637" s="55">
        <f>IF('04_DATA'!A634="","",'04_DATA'!A634)</f>
        <v/>
      </c>
      <c r="C637" s="55">
        <f>IF('04_DATA'!A634="","",IF(AND('04_DATA'!G634=1,'04_DATA'!H634=1,'04_DATA'!I634&gt;=3),"eligible","EXCLUDE"))</f>
        <v/>
      </c>
      <c r="D637" s="55">
        <f>IF('04_DATA'!A634="","",37-COUNT('04_DATA'!$K634:$AU634))</f>
        <v/>
      </c>
      <c r="E637" s="63">
        <f>IF('04_DATA'!A634="","",(37-COUNT('04_DATA'!$K634:$AU634))/37)</f>
        <v/>
      </c>
      <c r="F637" s="55">
        <f>IF('04_DATA'!A634="","",IF(AND(COUNT('04_DATA'!$K634:$AU634)=37,COUNTIF('04_DATA'!$K634:$AU634,INDEX('04_DATA'!$K634:$AU634,1))=37),"EXCLUDE","ok"))</f>
        <v/>
      </c>
      <c r="G637" s="55">
        <f>IF('04_DATA'!A634="","",IF('04_DATA'!D634&lt;PERCENTILE('04_DATA'!$D$2:$D$1001,0.05),"FLAG","ok"))</f>
        <v/>
      </c>
      <c r="H637" s="55">
        <f>IF('04_DATA'!A634="","",IF(OR(C637="EXCLUDE",F637="EXCLUDE"),"Exclude under pre-specified rule",IF(E637&gt;0.15,"Exclude: &gt;15% missing",IF(G637="FLAG","Retain; test in robustness battery","Retain"))))</f>
        <v/>
      </c>
    </row>
    <row r="638">
      <c r="A638" s="55" t="n">
        <v>635</v>
      </c>
      <c r="B638" s="55">
        <f>IF('04_DATA'!A635="","",'04_DATA'!A635)</f>
        <v/>
      </c>
      <c r="C638" s="55">
        <f>IF('04_DATA'!A635="","",IF(AND('04_DATA'!G635=1,'04_DATA'!H635=1,'04_DATA'!I635&gt;=3),"eligible","EXCLUDE"))</f>
        <v/>
      </c>
      <c r="D638" s="55">
        <f>IF('04_DATA'!A635="","",37-COUNT('04_DATA'!$K635:$AU635))</f>
        <v/>
      </c>
      <c r="E638" s="63">
        <f>IF('04_DATA'!A635="","",(37-COUNT('04_DATA'!$K635:$AU635))/37)</f>
        <v/>
      </c>
      <c r="F638" s="55">
        <f>IF('04_DATA'!A635="","",IF(AND(COUNT('04_DATA'!$K635:$AU635)=37,COUNTIF('04_DATA'!$K635:$AU635,INDEX('04_DATA'!$K635:$AU635,1))=37),"EXCLUDE","ok"))</f>
        <v/>
      </c>
      <c r="G638" s="55">
        <f>IF('04_DATA'!A635="","",IF('04_DATA'!D635&lt;PERCENTILE('04_DATA'!$D$2:$D$1001,0.05),"FLAG","ok"))</f>
        <v/>
      </c>
      <c r="H638" s="55">
        <f>IF('04_DATA'!A635="","",IF(OR(C638="EXCLUDE",F638="EXCLUDE"),"Exclude under pre-specified rule",IF(E638&gt;0.15,"Exclude: &gt;15% missing",IF(G638="FLAG","Retain; test in robustness battery","Retain"))))</f>
        <v/>
      </c>
    </row>
    <row r="639">
      <c r="A639" s="55" t="n">
        <v>636</v>
      </c>
      <c r="B639" s="55">
        <f>IF('04_DATA'!A636="","",'04_DATA'!A636)</f>
        <v/>
      </c>
      <c r="C639" s="55">
        <f>IF('04_DATA'!A636="","",IF(AND('04_DATA'!G636=1,'04_DATA'!H636=1,'04_DATA'!I636&gt;=3),"eligible","EXCLUDE"))</f>
        <v/>
      </c>
      <c r="D639" s="55">
        <f>IF('04_DATA'!A636="","",37-COUNT('04_DATA'!$K636:$AU636))</f>
        <v/>
      </c>
      <c r="E639" s="63">
        <f>IF('04_DATA'!A636="","",(37-COUNT('04_DATA'!$K636:$AU636))/37)</f>
        <v/>
      </c>
      <c r="F639" s="55">
        <f>IF('04_DATA'!A636="","",IF(AND(COUNT('04_DATA'!$K636:$AU636)=37,COUNTIF('04_DATA'!$K636:$AU636,INDEX('04_DATA'!$K636:$AU636,1))=37),"EXCLUDE","ok"))</f>
        <v/>
      </c>
      <c r="G639" s="55">
        <f>IF('04_DATA'!A636="","",IF('04_DATA'!D636&lt;PERCENTILE('04_DATA'!$D$2:$D$1001,0.05),"FLAG","ok"))</f>
        <v/>
      </c>
      <c r="H639" s="55">
        <f>IF('04_DATA'!A636="","",IF(OR(C639="EXCLUDE",F639="EXCLUDE"),"Exclude under pre-specified rule",IF(E639&gt;0.15,"Exclude: &gt;15% missing",IF(G639="FLAG","Retain; test in robustness battery","Retain"))))</f>
        <v/>
      </c>
    </row>
    <row r="640">
      <c r="A640" s="55" t="n">
        <v>637</v>
      </c>
      <c r="B640" s="55">
        <f>IF('04_DATA'!A637="","",'04_DATA'!A637)</f>
        <v/>
      </c>
      <c r="C640" s="55">
        <f>IF('04_DATA'!A637="","",IF(AND('04_DATA'!G637=1,'04_DATA'!H637=1,'04_DATA'!I637&gt;=3),"eligible","EXCLUDE"))</f>
        <v/>
      </c>
      <c r="D640" s="55">
        <f>IF('04_DATA'!A637="","",37-COUNT('04_DATA'!$K637:$AU637))</f>
        <v/>
      </c>
      <c r="E640" s="63">
        <f>IF('04_DATA'!A637="","",(37-COUNT('04_DATA'!$K637:$AU637))/37)</f>
        <v/>
      </c>
      <c r="F640" s="55">
        <f>IF('04_DATA'!A637="","",IF(AND(COUNT('04_DATA'!$K637:$AU637)=37,COUNTIF('04_DATA'!$K637:$AU637,INDEX('04_DATA'!$K637:$AU637,1))=37),"EXCLUDE","ok"))</f>
        <v/>
      </c>
      <c r="G640" s="55">
        <f>IF('04_DATA'!A637="","",IF('04_DATA'!D637&lt;PERCENTILE('04_DATA'!$D$2:$D$1001,0.05),"FLAG","ok"))</f>
        <v/>
      </c>
      <c r="H640" s="55">
        <f>IF('04_DATA'!A637="","",IF(OR(C640="EXCLUDE",F640="EXCLUDE"),"Exclude under pre-specified rule",IF(E640&gt;0.15,"Exclude: &gt;15% missing",IF(G640="FLAG","Retain; test in robustness battery","Retain"))))</f>
        <v/>
      </c>
    </row>
    <row r="641">
      <c r="A641" s="55" t="n">
        <v>638</v>
      </c>
      <c r="B641" s="55">
        <f>IF('04_DATA'!A638="","",'04_DATA'!A638)</f>
        <v/>
      </c>
      <c r="C641" s="55">
        <f>IF('04_DATA'!A638="","",IF(AND('04_DATA'!G638=1,'04_DATA'!H638=1,'04_DATA'!I638&gt;=3),"eligible","EXCLUDE"))</f>
        <v/>
      </c>
      <c r="D641" s="55">
        <f>IF('04_DATA'!A638="","",37-COUNT('04_DATA'!$K638:$AU638))</f>
        <v/>
      </c>
      <c r="E641" s="63">
        <f>IF('04_DATA'!A638="","",(37-COUNT('04_DATA'!$K638:$AU638))/37)</f>
        <v/>
      </c>
      <c r="F641" s="55">
        <f>IF('04_DATA'!A638="","",IF(AND(COUNT('04_DATA'!$K638:$AU638)=37,COUNTIF('04_DATA'!$K638:$AU638,INDEX('04_DATA'!$K638:$AU638,1))=37),"EXCLUDE","ok"))</f>
        <v/>
      </c>
      <c r="G641" s="55">
        <f>IF('04_DATA'!A638="","",IF('04_DATA'!D638&lt;PERCENTILE('04_DATA'!$D$2:$D$1001,0.05),"FLAG","ok"))</f>
        <v/>
      </c>
      <c r="H641" s="55">
        <f>IF('04_DATA'!A638="","",IF(OR(C641="EXCLUDE",F641="EXCLUDE"),"Exclude under pre-specified rule",IF(E641&gt;0.15,"Exclude: &gt;15% missing",IF(G641="FLAG","Retain; test in robustness battery","Retain"))))</f>
        <v/>
      </c>
    </row>
    <row r="642">
      <c r="A642" s="55" t="n">
        <v>639</v>
      </c>
      <c r="B642" s="55">
        <f>IF('04_DATA'!A639="","",'04_DATA'!A639)</f>
        <v/>
      </c>
      <c r="C642" s="55">
        <f>IF('04_DATA'!A639="","",IF(AND('04_DATA'!G639=1,'04_DATA'!H639=1,'04_DATA'!I639&gt;=3),"eligible","EXCLUDE"))</f>
        <v/>
      </c>
      <c r="D642" s="55">
        <f>IF('04_DATA'!A639="","",37-COUNT('04_DATA'!$K639:$AU639))</f>
        <v/>
      </c>
      <c r="E642" s="63">
        <f>IF('04_DATA'!A639="","",(37-COUNT('04_DATA'!$K639:$AU639))/37)</f>
        <v/>
      </c>
      <c r="F642" s="55">
        <f>IF('04_DATA'!A639="","",IF(AND(COUNT('04_DATA'!$K639:$AU639)=37,COUNTIF('04_DATA'!$K639:$AU639,INDEX('04_DATA'!$K639:$AU639,1))=37),"EXCLUDE","ok"))</f>
        <v/>
      </c>
      <c r="G642" s="55">
        <f>IF('04_DATA'!A639="","",IF('04_DATA'!D639&lt;PERCENTILE('04_DATA'!$D$2:$D$1001,0.05),"FLAG","ok"))</f>
        <v/>
      </c>
      <c r="H642" s="55">
        <f>IF('04_DATA'!A639="","",IF(OR(C642="EXCLUDE",F642="EXCLUDE"),"Exclude under pre-specified rule",IF(E642&gt;0.15,"Exclude: &gt;15% missing",IF(G642="FLAG","Retain; test in robustness battery","Retain"))))</f>
        <v/>
      </c>
    </row>
    <row r="643">
      <c r="A643" s="55" t="n">
        <v>640</v>
      </c>
      <c r="B643" s="55">
        <f>IF('04_DATA'!A640="","",'04_DATA'!A640)</f>
        <v/>
      </c>
      <c r="C643" s="55">
        <f>IF('04_DATA'!A640="","",IF(AND('04_DATA'!G640=1,'04_DATA'!H640=1,'04_DATA'!I640&gt;=3),"eligible","EXCLUDE"))</f>
        <v/>
      </c>
      <c r="D643" s="55">
        <f>IF('04_DATA'!A640="","",37-COUNT('04_DATA'!$K640:$AU640))</f>
        <v/>
      </c>
      <c r="E643" s="63">
        <f>IF('04_DATA'!A640="","",(37-COUNT('04_DATA'!$K640:$AU640))/37)</f>
        <v/>
      </c>
      <c r="F643" s="55">
        <f>IF('04_DATA'!A640="","",IF(AND(COUNT('04_DATA'!$K640:$AU640)=37,COUNTIF('04_DATA'!$K640:$AU640,INDEX('04_DATA'!$K640:$AU640,1))=37),"EXCLUDE","ok"))</f>
        <v/>
      </c>
      <c r="G643" s="55">
        <f>IF('04_DATA'!A640="","",IF('04_DATA'!D640&lt;PERCENTILE('04_DATA'!$D$2:$D$1001,0.05),"FLAG","ok"))</f>
        <v/>
      </c>
      <c r="H643" s="55">
        <f>IF('04_DATA'!A640="","",IF(OR(C643="EXCLUDE",F643="EXCLUDE"),"Exclude under pre-specified rule",IF(E643&gt;0.15,"Exclude: &gt;15% missing",IF(G643="FLAG","Retain; test in robustness battery","Retain"))))</f>
        <v/>
      </c>
    </row>
    <row r="644">
      <c r="A644" s="55" t="n">
        <v>641</v>
      </c>
      <c r="B644" s="55">
        <f>IF('04_DATA'!A641="","",'04_DATA'!A641)</f>
        <v/>
      </c>
      <c r="C644" s="55">
        <f>IF('04_DATA'!A641="","",IF(AND('04_DATA'!G641=1,'04_DATA'!H641=1,'04_DATA'!I641&gt;=3),"eligible","EXCLUDE"))</f>
        <v/>
      </c>
      <c r="D644" s="55">
        <f>IF('04_DATA'!A641="","",37-COUNT('04_DATA'!$K641:$AU641))</f>
        <v/>
      </c>
      <c r="E644" s="63">
        <f>IF('04_DATA'!A641="","",(37-COUNT('04_DATA'!$K641:$AU641))/37)</f>
        <v/>
      </c>
      <c r="F644" s="55">
        <f>IF('04_DATA'!A641="","",IF(AND(COUNT('04_DATA'!$K641:$AU641)=37,COUNTIF('04_DATA'!$K641:$AU641,INDEX('04_DATA'!$K641:$AU641,1))=37),"EXCLUDE","ok"))</f>
        <v/>
      </c>
      <c r="G644" s="55">
        <f>IF('04_DATA'!A641="","",IF('04_DATA'!D641&lt;PERCENTILE('04_DATA'!$D$2:$D$1001,0.05),"FLAG","ok"))</f>
        <v/>
      </c>
      <c r="H644" s="55">
        <f>IF('04_DATA'!A641="","",IF(OR(C644="EXCLUDE",F644="EXCLUDE"),"Exclude under pre-specified rule",IF(E644&gt;0.15,"Exclude: &gt;15% missing",IF(G644="FLAG","Retain; test in robustness battery","Retain"))))</f>
        <v/>
      </c>
    </row>
    <row r="645">
      <c r="A645" s="55" t="n">
        <v>642</v>
      </c>
      <c r="B645" s="55">
        <f>IF('04_DATA'!A642="","",'04_DATA'!A642)</f>
        <v/>
      </c>
      <c r="C645" s="55">
        <f>IF('04_DATA'!A642="","",IF(AND('04_DATA'!G642=1,'04_DATA'!H642=1,'04_DATA'!I642&gt;=3),"eligible","EXCLUDE"))</f>
        <v/>
      </c>
      <c r="D645" s="55">
        <f>IF('04_DATA'!A642="","",37-COUNT('04_DATA'!$K642:$AU642))</f>
        <v/>
      </c>
      <c r="E645" s="63">
        <f>IF('04_DATA'!A642="","",(37-COUNT('04_DATA'!$K642:$AU642))/37)</f>
        <v/>
      </c>
      <c r="F645" s="55">
        <f>IF('04_DATA'!A642="","",IF(AND(COUNT('04_DATA'!$K642:$AU642)=37,COUNTIF('04_DATA'!$K642:$AU642,INDEX('04_DATA'!$K642:$AU642,1))=37),"EXCLUDE","ok"))</f>
        <v/>
      </c>
      <c r="G645" s="55">
        <f>IF('04_DATA'!A642="","",IF('04_DATA'!D642&lt;PERCENTILE('04_DATA'!$D$2:$D$1001,0.05),"FLAG","ok"))</f>
        <v/>
      </c>
      <c r="H645" s="55">
        <f>IF('04_DATA'!A642="","",IF(OR(C645="EXCLUDE",F645="EXCLUDE"),"Exclude under pre-specified rule",IF(E645&gt;0.15,"Exclude: &gt;15% missing",IF(G645="FLAG","Retain; test in robustness battery","Retain"))))</f>
        <v/>
      </c>
    </row>
    <row r="646">
      <c r="A646" s="55" t="n">
        <v>643</v>
      </c>
      <c r="B646" s="55">
        <f>IF('04_DATA'!A643="","",'04_DATA'!A643)</f>
        <v/>
      </c>
      <c r="C646" s="55">
        <f>IF('04_DATA'!A643="","",IF(AND('04_DATA'!G643=1,'04_DATA'!H643=1,'04_DATA'!I643&gt;=3),"eligible","EXCLUDE"))</f>
        <v/>
      </c>
      <c r="D646" s="55">
        <f>IF('04_DATA'!A643="","",37-COUNT('04_DATA'!$K643:$AU643))</f>
        <v/>
      </c>
      <c r="E646" s="63">
        <f>IF('04_DATA'!A643="","",(37-COUNT('04_DATA'!$K643:$AU643))/37)</f>
        <v/>
      </c>
      <c r="F646" s="55">
        <f>IF('04_DATA'!A643="","",IF(AND(COUNT('04_DATA'!$K643:$AU643)=37,COUNTIF('04_DATA'!$K643:$AU643,INDEX('04_DATA'!$K643:$AU643,1))=37),"EXCLUDE","ok"))</f>
        <v/>
      </c>
      <c r="G646" s="55">
        <f>IF('04_DATA'!A643="","",IF('04_DATA'!D643&lt;PERCENTILE('04_DATA'!$D$2:$D$1001,0.05),"FLAG","ok"))</f>
        <v/>
      </c>
      <c r="H646" s="55">
        <f>IF('04_DATA'!A643="","",IF(OR(C646="EXCLUDE",F646="EXCLUDE"),"Exclude under pre-specified rule",IF(E646&gt;0.15,"Exclude: &gt;15% missing",IF(G646="FLAG","Retain; test in robustness battery","Retain"))))</f>
        <v/>
      </c>
    </row>
    <row r="647">
      <c r="A647" s="55" t="n">
        <v>644</v>
      </c>
      <c r="B647" s="55">
        <f>IF('04_DATA'!A644="","",'04_DATA'!A644)</f>
        <v/>
      </c>
      <c r="C647" s="55">
        <f>IF('04_DATA'!A644="","",IF(AND('04_DATA'!G644=1,'04_DATA'!H644=1,'04_DATA'!I644&gt;=3),"eligible","EXCLUDE"))</f>
        <v/>
      </c>
      <c r="D647" s="55">
        <f>IF('04_DATA'!A644="","",37-COUNT('04_DATA'!$K644:$AU644))</f>
        <v/>
      </c>
      <c r="E647" s="63">
        <f>IF('04_DATA'!A644="","",(37-COUNT('04_DATA'!$K644:$AU644))/37)</f>
        <v/>
      </c>
      <c r="F647" s="55">
        <f>IF('04_DATA'!A644="","",IF(AND(COUNT('04_DATA'!$K644:$AU644)=37,COUNTIF('04_DATA'!$K644:$AU644,INDEX('04_DATA'!$K644:$AU644,1))=37),"EXCLUDE","ok"))</f>
        <v/>
      </c>
      <c r="G647" s="55">
        <f>IF('04_DATA'!A644="","",IF('04_DATA'!D644&lt;PERCENTILE('04_DATA'!$D$2:$D$1001,0.05),"FLAG","ok"))</f>
        <v/>
      </c>
      <c r="H647" s="55">
        <f>IF('04_DATA'!A644="","",IF(OR(C647="EXCLUDE",F647="EXCLUDE"),"Exclude under pre-specified rule",IF(E647&gt;0.15,"Exclude: &gt;15% missing",IF(G647="FLAG","Retain; test in robustness battery","Retain"))))</f>
        <v/>
      </c>
    </row>
    <row r="648">
      <c r="A648" s="55" t="n">
        <v>645</v>
      </c>
      <c r="B648" s="55">
        <f>IF('04_DATA'!A645="","",'04_DATA'!A645)</f>
        <v/>
      </c>
      <c r="C648" s="55">
        <f>IF('04_DATA'!A645="","",IF(AND('04_DATA'!G645=1,'04_DATA'!H645=1,'04_DATA'!I645&gt;=3),"eligible","EXCLUDE"))</f>
        <v/>
      </c>
      <c r="D648" s="55">
        <f>IF('04_DATA'!A645="","",37-COUNT('04_DATA'!$K645:$AU645))</f>
        <v/>
      </c>
      <c r="E648" s="63">
        <f>IF('04_DATA'!A645="","",(37-COUNT('04_DATA'!$K645:$AU645))/37)</f>
        <v/>
      </c>
      <c r="F648" s="55">
        <f>IF('04_DATA'!A645="","",IF(AND(COUNT('04_DATA'!$K645:$AU645)=37,COUNTIF('04_DATA'!$K645:$AU645,INDEX('04_DATA'!$K645:$AU645,1))=37),"EXCLUDE","ok"))</f>
        <v/>
      </c>
      <c r="G648" s="55">
        <f>IF('04_DATA'!A645="","",IF('04_DATA'!D645&lt;PERCENTILE('04_DATA'!$D$2:$D$1001,0.05),"FLAG","ok"))</f>
        <v/>
      </c>
      <c r="H648" s="55">
        <f>IF('04_DATA'!A645="","",IF(OR(C648="EXCLUDE",F648="EXCLUDE"),"Exclude under pre-specified rule",IF(E648&gt;0.15,"Exclude: &gt;15% missing",IF(G648="FLAG","Retain; test in robustness battery","Retain"))))</f>
        <v/>
      </c>
    </row>
    <row r="649">
      <c r="A649" s="55" t="n">
        <v>646</v>
      </c>
      <c r="B649" s="55">
        <f>IF('04_DATA'!A646="","",'04_DATA'!A646)</f>
        <v/>
      </c>
      <c r="C649" s="55">
        <f>IF('04_DATA'!A646="","",IF(AND('04_DATA'!G646=1,'04_DATA'!H646=1,'04_DATA'!I646&gt;=3),"eligible","EXCLUDE"))</f>
        <v/>
      </c>
      <c r="D649" s="55">
        <f>IF('04_DATA'!A646="","",37-COUNT('04_DATA'!$K646:$AU646))</f>
        <v/>
      </c>
      <c r="E649" s="63">
        <f>IF('04_DATA'!A646="","",(37-COUNT('04_DATA'!$K646:$AU646))/37)</f>
        <v/>
      </c>
      <c r="F649" s="55">
        <f>IF('04_DATA'!A646="","",IF(AND(COUNT('04_DATA'!$K646:$AU646)=37,COUNTIF('04_DATA'!$K646:$AU646,INDEX('04_DATA'!$K646:$AU646,1))=37),"EXCLUDE","ok"))</f>
        <v/>
      </c>
      <c r="G649" s="55">
        <f>IF('04_DATA'!A646="","",IF('04_DATA'!D646&lt;PERCENTILE('04_DATA'!$D$2:$D$1001,0.05),"FLAG","ok"))</f>
        <v/>
      </c>
      <c r="H649" s="55">
        <f>IF('04_DATA'!A646="","",IF(OR(C649="EXCLUDE",F649="EXCLUDE"),"Exclude under pre-specified rule",IF(E649&gt;0.15,"Exclude: &gt;15% missing",IF(G649="FLAG","Retain; test in robustness battery","Retain"))))</f>
        <v/>
      </c>
    </row>
    <row r="650">
      <c r="A650" s="55" t="n">
        <v>647</v>
      </c>
      <c r="B650" s="55">
        <f>IF('04_DATA'!A647="","",'04_DATA'!A647)</f>
        <v/>
      </c>
      <c r="C650" s="55">
        <f>IF('04_DATA'!A647="","",IF(AND('04_DATA'!G647=1,'04_DATA'!H647=1,'04_DATA'!I647&gt;=3),"eligible","EXCLUDE"))</f>
        <v/>
      </c>
      <c r="D650" s="55">
        <f>IF('04_DATA'!A647="","",37-COUNT('04_DATA'!$K647:$AU647))</f>
        <v/>
      </c>
      <c r="E650" s="63">
        <f>IF('04_DATA'!A647="","",(37-COUNT('04_DATA'!$K647:$AU647))/37)</f>
        <v/>
      </c>
      <c r="F650" s="55">
        <f>IF('04_DATA'!A647="","",IF(AND(COUNT('04_DATA'!$K647:$AU647)=37,COUNTIF('04_DATA'!$K647:$AU647,INDEX('04_DATA'!$K647:$AU647,1))=37),"EXCLUDE","ok"))</f>
        <v/>
      </c>
      <c r="G650" s="55">
        <f>IF('04_DATA'!A647="","",IF('04_DATA'!D647&lt;PERCENTILE('04_DATA'!$D$2:$D$1001,0.05),"FLAG","ok"))</f>
        <v/>
      </c>
      <c r="H650" s="55">
        <f>IF('04_DATA'!A647="","",IF(OR(C650="EXCLUDE",F650="EXCLUDE"),"Exclude under pre-specified rule",IF(E650&gt;0.15,"Exclude: &gt;15% missing",IF(G650="FLAG","Retain; test in robustness battery","Retain"))))</f>
        <v/>
      </c>
    </row>
    <row r="651">
      <c r="A651" s="55" t="n">
        <v>648</v>
      </c>
      <c r="B651" s="55">
        <f>IF('04_DATA'!A648="","",'04_DATA'!A648)</f>
        <v/>
      </c>
      <c r="C651" s="55">
        <f>IF('04_DATA'!A648="","",IF(AND('04_DATA'!G648=1,'04_DATA'!H648=1,'04_DATA'!I648&gt;=3),"eligible","EXCLUDE"))</f>
        <v/>
      </c>
      <c r="D651" s="55">
        <f>IF('04_DATA'!A648="","",37-COUNT('04_DATA'!$K648:$AU648))</f>
        <v/>
      </c>
      <c r="E651" s="63">
        <f>IF('04_DATA'!A648="","",(37-COUNT('04_DATA'!$K648:$AU648))/37)</f>
        <v/>
      </c>
      <c r="F651" s="55">
        <f>IF('04_DATA'!A648="","",IF(AND(COUNT('04_DATA'!$K648:$AU648)=37,COUNTIF('04_DATA'!$K648:$AU648,INDEX('04_DATA'!$K648:$AU648,1))=37),"EXCLUDE","ok"))</f>
        <v/>
      </c>
      <c r="G651" s="55">
        <f>IF('04_DATA'!A648="","",IF('04_DATA'!D648&lt;PERCENTILE('04_DATA'!$D$2:$D$1001,0.05),"FLAG","ok"))</f>
        <v/>
      </c>
      <c r="H651" s="55">
        <f>IF('04_DATA'!A648="","",IF(OR(C651="EXCLUDE",F651="EXCLUDE"),"Exclude under pre-specified rule",IF(E651&gt;0.15,"Exclude: &gt;15% missing",IF(G651="FLAG","Retain; test in robustness battery","Retain"))))</f>
        <v/>
      </c>
    </row>
    <row r="652">
      <c r="A652" s="55" t="n">
        <v>649</v>
      </c>
      <c r="B652" s="55">
        <f>IF('04_DATA'!A649="","",'04_DATA'!A649)</f>
        <v/>
      </c>
      <c r="C652" s="55">
        <f>IF('04_DATA'!A649="","",IF(AND('04_DATA'!G649=1,'04_DATA'!H649=1,'04_DATA'!I649&gt;=3),"eligible","EXCLUDE"))</f>
        <v/>
      </c>
      <c r="D652" s="55">
        <f>IF('04_DATA'!A649="","",37-COUNT('04_DATA'!$K649:$AU649))</f>
        <v/>
      </c>
      <c r="E652" s="63">
        <f>IF('04_DATA'!A649="","",(37-COUNT('04_DATA'!$K649:$AU649))/37)</f>
        <v/>
      </c>
      <c r="F652" s="55">
        <f>IF('04_DATA'!A649="","",IF(AND(COUNT('04_DATA'!$K649:$AU649)=37,COUNTIF('04_DATA'!$K649:$AU649,INDEX('04_DATA'!$K649:$AU649,1))=37),"EXCLUDE","ok"))</f>
        <v/>
      </c>
      <c r="G652" s="55">
        <f>IF('04_DATA'!A649="","",IF('04_DATA'!D649&lt;PERCENTILE('04_DATA'!$D$2:$D$1001,0.05),"FLAG","ok"))</f>
        <v/>
      </c>
      <c r="H652" s="55">
        <f>IF('04_DATA'!A649="","",IF(OR(C652="EXCLUDE",F652="EXCLUDE"),"Exclude under pre-specified rule",IF(E652&gt;0.15,"Exclude: &gt;15% missing",IF(G652="FLAG","Retain; test in robustness battery","Retain"))))</f>
        <v/>
      </c>
    </row>
    <row r="653">
      <c r="A653" s="55" t="n">
        <v>650</v>
      </c>
      <c r="B653" s="55">
        <f>IF('04_DATA'!A650="","",'04_DATA'!A650)</f>
        <v/>
      </c>
      <c r="C653" s="55">
        <f>IF('04_DATA'!A650="","",IF(AND('04_DATA'!G650=1,'04_DATA'!H650=1,'04_DATA'!I650&gt;=3),"eligible","EXCLUDE"))</f>
        <v/>
      </c>
      <c r="D653" s="55">
        <f>IF('04_DATA'!A650="","",37-COUNT('04_DATA'!$K650:$AU650))</f>
        <v/>
      </c>
      <c r="E653" s="63">
        <f>IF('04_DATA'!A650="","",(37-COUNT('04_DATA'!$K650:$AU650))/37)</f>
        <v/>
      </c>
      <c r="F653" s="55">
        <f>IF('04_DATA'!A650="","",IF(AND(COUNT('04_DATA'!$K650:$AU650)=37,COUNTIF('04_DATA'!$K650:$AU650,INDEX('04_DATA'!$K650:$AU650,1))=37),"EXCLUDE","ok"))</f>
        <v/>
      </c>
      <c r="G653" s="55">
        <f>IF('04_DATA'!A650="","",IF('04_DATA'!D650&lt;PERCENTILE('04_DATA'!$D$2:$D$1001,0.05),"FLAG","ok"))</f>
        <v/>
      </c>
      <c r="H653" s="55">
        <f>IF('04_DATA'!A650="","",IF(OR(C653="EXCLUDE",F653="EXCLUDE"),"Exclude under pre-specified rule",IF(E653&gt;0.15,"Exclude: &gt;15% missing",IF(G653="FLAG","Retain; test in robustness battery","Retain"))))</f>
        <v/>
      </c>
    </row>
    <row r="654">
      <c r="A654" s="55" t="n">
        <v>651</v>
      </c>
      <c r="B654" s="55">
        <f>IF('04_DATA'!A651="","",'04_DATA'!A651)</f>
        <v/>
      </c>
      <c r="C654" s="55">
        <f>IF('04_DATA'!A651="","",IF(AND('04_DATA'!G651=1,'04_DATA'!H651=1,'04_DATA'!I651&gt;=3),"eligible","EXCLUDE"))</f>
        <v/>
      </c>
      <c r="D654" s="55">
        <f>IF('04_DATA'!A651="","",37-COUNT('04_DATA'!$K651:$AU651))</f>
        <v/>
      </c>
      <c r="E654" s="63">
        <f>IF('04_DATA'!A651="","",(37-COUNT('04_DATA'!$K651:$AU651))/37)</f>
        <v/>
      </c>
      <c r="F654" s="55">
        <f>IF('04_DATA'!A651="","",IF(AND(COUNT('04_DATA'!$K651:$AU651)=37,COUNTIF('04_DATA'!$K651:$AU651,INDEX('04_DATA'!$K651:$AU651,1))=37),"EXCLUDE","ok"))</f>
        <v/>
      </c>
      <c r="G654" s="55">
        <f>IF('04_DATA'!A651="","",IF('04_DATA'!D651&lt;PERCENTILE('04_DATA'!$D$2:$D$1001,0.05),"FLAG","ok"))</f>
        <v/>
      </c>
      <c r="H654" s="55">
        <f>IF('04_DATA'!A651="","",IF(OR(C654="EXCLUDE",F654="EXCLUDE"),"Exclude under pre-specified rule",IF(E654&gt;0.15,"Exclude: &gt;15% missing",IF(G654="FLAG","Retain; test in robustness battery","Retain"))))</f>
        <v/>
      </c>
    </row>
    <row r="655">
      <c r="A655" s="55" t="n">
        <v>652</v>
      </c>
      <c r="B655" s="55">
        <f>IF('04_DATA'!A652="","",'04_DATA'!A652)</f>
        <v/>
      </c>
      <c r="C655" s="55">
        <f>IF('04_DATA'!A652="","",IF(AND('04_DATA'!G652=1,'04_DATA'!H652=1,'04_DATA'!I652&gt;=3),"eligible","EXCLUDE"))</f>
        <v/>
      </c>
      <c r="D655" s="55">
        <f>IF('04_DATA'!A652="","",37-COUNT('04_DATA'!$K652:$AU652))</f>
        <v/>
      </c>
      <c r="E655" s="63">
        <f>IF('04_DATA'!A652="","",(37-COUNT('04_DATA'!$K652:$AU652))/37)</f>
        <v/>
      </c>
      <c r="F655" s="55">
        <f>IF('04_DATA'!A652="","",IF(AND(COUNT('04_DATA'!$K652:$AU652)=37,COUNTIF('04_DATA'!$K652:$AU652,INDEX('04_DATA'!$K652:$AU652,1))=37),"EXCLUDE","ok"))</f>
        <v/>
      </c>
      <c r="G655" s="55">
        <f>IF('04_DATA'!A652="","",IF('04_DATA'!D652&lt;PERCENTILE('04_DATA'!$D$2:$D$1001,0.05),"FLAG","ok"))</f>
        <v/>
      </c>
      <c r="H655" s="55">
        <f>IF('04_DATA'!A652="","",IF(OR(C655="EXCLUDE",F655="EXCLUDE"),"Exclude under pre-specified rule",IF(E655&gt;0.15,"Exclude: &gt;15% missing",IF(G655="FLAG","Retain; test in robustness battery","Retain"))))</f>
        <v/>
      </c>
    </row>
    <row r="656">
      <c r="A656" s="55" t="n">
        <v>653</v>
      </c>
      <c r="B656" s="55">
        <f>IF('04_DATA'!A653="","",'04_DATA'!A653)</f>
        <v/>
      </c>
      <c r="C656" s="55">
        <f>IF('04_DATA'!A653="","",IF(AND('04_DATA'!G653=1,'04_DATA'!H653=1,'04_DATA'!I653&gt;=3),"eligible","EXCLUDE"))</f>
        <v/>
      </c>
      <c r="D656" s="55">
        <f>IF('04_DATA'!A653="","",37-COUNT('04_DATA'!$K653:$AU653))</f>
        <v/>
      </c>
      <c r="E656" s="63">
        <f>IF('04_DATA'!A653="","",(37-COUNT('04_DATA'!$K653:$AU653))/37)</f>
        <v/>
      </c>
      <c r="F656" s="55">
        <f>IF('04_DATA'!A653="","",IF(AND(COUNT('04_DATA'!$K653:$AU653)=37,COUNTIF('04_DATA'!$K653:$AU653,INDEX('04_DATA'!$K653:$AU653,1))=37),"EXCLUDE","ok"))</f>
        <v/>
      </c>
      <c r="G656" s="55">
        <f>IF('04_DATA'!A653="","",IF('04_DATA'!D653&lt;PERCENTILE('04_DATA'!$D$2:$D$1001,0.05),"FLAG","ok"))</f>
        <v/>
      </c>
      <c r="H656" s="55">
        <f>IF('04_DATA'!A653="","",IF(OR(C656="EXCLUDE",F656="EXCLUDE"),"Exclude under pre-specified rule",IF(E656&gt;0.15,"Exclude: &gt;15% missing",IF(G656="FLAG","Retain; test in robustness battery","Retain"))))</f>
        <v/>
      </c>
    </row>
    <row r="657">
      <c r="A657" s="55" t="n">
        <v>654</v>
      </c>
      <c r="B657" s="55">
        <f>IF('04_DATA'!A654="","",'04_DATA'!A654)</f>
        <v/>
      </c>
      <c r="C657" s="55">
        <f>IF('04_DATA'!A654="","",IF(AND('04_DATA'!G654=1,'04_DATA'!H654=1,'04_DATA'!I654&gt;=3),"eligible","EXCLUDE"))</f>
        <v/>
      </c>
      <c r="D657" s="55">
        <f>IF('04_DATA'!A654="","",37-COUNT('04_DATA'!$K654:$AU654))</f>
        <v/>
      </c>
      <c r="E657" s="63">
        <f>IF('04_DATA'!A654="","",(37-COUNT('04_DATA'!$K654:$AU654))/37)</f>
        <v/>
      </c>
      <c r="F657" s="55">
        <f>IF('04_DATA'!A654="","",IF(AND(COUNT('04_DATA'!$K654:$AU654)=37,COUNTIF('04_DATA'!$K654:$AU654,INDEX('04_DATA'!$K654:$AU654,1))=37),"EXCLUDE","ok"))</f>
        <v/>
      </c>
      <c r="G657" s="55">
        <f>IF('04_DATA'!A654="","",IF('04_DATA'!D654&lt;PERCENTILE('04_DATA'!$D$2:$D$1001,0.05),"FLAG","ok"))</f>
        <v/>
      </c>
      <c r="H657" s="55">
        <f>IF('04_DATA'!A654="","",IF(OR(C657="EXCLUDE",F657="EXCLUDE"),"Exclude under pre-specified rule",IF(E657&gt;0.15,"Exclude: &gt;15% missing",IF(G657="FLAG","Retain; test in robustness battery","Retain"))))</f>
        <v/>
      </c>
    </row>
    <row r="658">
      <c r="A658" s="55" t="n">
        <v>655</v>
      </c>
      <c r="B658" s="55">
        <f>IF('04_DATA'!A655="","",'04_DATA'!A655)</f>
        <v/>
      </c>
      <c r="C658" s="55">
        <f>IF('04_DATA'!A655="","",IF(AND('04_DATA'!G655=1,'04_DATA'!H655=1,'04_DATA'!I655&gt;=3),"eligible","EXCLUDE"))</f>
        <v/>
      </c>
      <c r="D658" s="55">
        <f>IF('04_DATA'!A655="","",37-COUNT('04_DATA'!$K655:$AU655))</f>
        <v/>
      </c>
      <c r="E658" s="63">
        <f>IF('04_DATA'!A655="","",(37-COUNT('04_DATA'!$K655:$AU655))/37)</f>
        <v/>
      </c>
      <c r="F658" s="55">
        <f>IF('04_DATA'!A655="","",IF(AND(COUNT('04_DATA'!$K655:$AU655)=37,COUNTIF('04_DATA'!$K655:$AU655,INDEX('04_DATA'!$K655:$AU655,1))=37),"EXCLUDE","ok"))</f>
        <v/>
      </c>
      <c r="G658" s="55">
        <f>IF('04_DATA'!A655="","",IF('04_DATA'!D655&lt;PERCENTILE('04_DATA'!$D$2:$D$1001,0.05),"FLAG","ok"))</f>
        <v/>
      </c>
      <c r="H658" s="55">
        <f>IF('04_DATA'!A655="","",IF(OR(C658="EXCLUDE",F658="EXCLUDE"),"Exclude under pre-specified rule",IF(E658&gt;0.15,"Exclude: &gt;15% missing",IF(G658="FLAG","Retain; test in robustness battery","Retain"))))</f>
        <v/>
      </c>
    </row>
    <row r="659">
      <c r="A659" s="55" t="n">
        <v>656</v>
      </c>
      <c r="B659" s="55">
        <f>IF('04_DATA'!A656="","",'04_DATA'!A656)</f>
        <v/>
      </c>
      <c r="C659" s="55">
        <f>IF('04_DATA'!A656="","",IF(AND('04_DATA'!G656=1,'04_DATA'!H656=1,'04_DATA'!I656&gt;=3),"eligible","EXCLUDE"))</f>
        <v/>
      </c>
      <c r="D659" s="55">
        <f>IF('04_DATA'!A656="","",37-COUNT('04_DATA'!$K656:$AU656))</f>
        <v/>
      </c>
      <c r="E659" s="63">
        <f>IF('04_DATA'!A656="","",(37-COUNT('04_DATA'!$K656:$AU656))/37)</f>
        <v/>
      </c>
      <c r="F659" s="55">
        <f>IF('04_DATA'!A656="","",IF(AND(COUNT('04_DATA'!$K656:$AU656)=37,COUNTIF('04_DATA'!$K656:$AU656,INDEX('04_DATA'!$K656:$AU656,1))=37),"EXCLUDE","ok"))</f>
        <v/>
      </c>
      <c r="G659" s="55">
        <f>IF('04_DATA'!A656="","",IF('04_DATA'!D656&lt;PERCENTILE('04_DATA'!$D$2:$D$1001,0.05),"FLAG","ok"))</f>
        <v/>
      </c>
      <c r="H659" s="55">
        <f>IF('04_DATA'!A656="","",IF(OR(C659="EXCLUDE",F659="EXCLUDE"),"Exclude under pre-specified rule",IF(E659&gt;0.15,"Exclude: &gt;15% missing",IF(G659="FLAG","Retain; test in robustness battery","Retain"))))</f>
        <v/>
      </c>
    </row>
    <row r="660">
      <c r="A660" s="55" t="n">
        <v>657</v>
      </c>
      <c r="B660" s="55">
        <f>IF('04_DATA'!A657="","",'04_DATA'!A657)</f>
        <v/>
      </c>
      <c r="C660" s="55">
        <f>IF('04_DATA'!A657="","",IF(AND('04_DATA'!G657=1,'04_DATA'!H657=1,'04_DATA'!I657&gt;=3),"eligible","EXCLUDE"))</f>
        <v/>
      </c>
      <c r="D660" s="55">
        <f>IF('04_DATA'!A657="","",37-COUNT('04_DATA'!$K657:$AU657))</f>
        <v/>
      </c>
      <c r="E660" s="63">
        <f>IF('04_DATA'!A657="","",(37-COUNT('04_DATA'!$K657:$AU657))/37)</f>
        <v/>
      </c>
      <c r="F660" s="55">
        <f>IF('04_DATA'!A657="","",IF(AND(COUNT('04_DATA'!$K657:$AU657)=37,COUNTIF('04_DATA'!$K657:$AU657,INDEX('04_DATA'!$K657:$AU657,1))=37),"EXCLUDE","ok"))</f>
        <v/>
      </c>
      <c r="G660" s="55">
        <f>IF('04_DATA'!A657="","",IF('04_DATA'!D657&lt;PERCENTILE('04_DATA'!$D$2:$D$1001,0.05),"FLAG","ok"))</f>
        <v/>
      </c>
      <c r="H660" s="55">
        <f>IF('04_DATA'!A657="","",IF(OR(C660="EXCLUDE",F660="EXCLUDE"),"Exclude under pre-specified rule",IF(E660&gt;0.15,"Exclude: &gt;15% missing",IF(G660="FLAG","Retain; test in robustness battery","Retain"))))</f>
        <v/>
      </c>
    </row>
    <row r="661">
      <c r="A661" s="55" t="n">
        <v>658</v>
      </c>
      <c r="B661" s="55">
        <f>IF('04_DATA'!A658="","",'04_DATA'!A658)</f>
        <v/>
      </c>
      <c r="C661" s="55">
        <f>IF('04_DATA'!A658="","",IF(AND('04_DATA'!G658=1,'04_DATA'!H658=1,'04_DATA'!I658&gt;=3),"eligible","EXCLUDE"))</f>
        <v/>
      </c>
      <c r="D661" s="55">
        <f>IF('04_DATA'!A658="","",37-COUNT('04_DATA'!$K658:$AU658))</f>
        <v/>
      </c>
      <c r="E661" s="63">
        <f>IF('04_DATA'!A658="","",(37-COUNT('04_DATA'!$K658:$AU658))/37)</f>
        <v/>
      </c>
      <c r="F661" s="55">
        <f>IF('04_DATA'!A658="","",IF(AND(COUNT('04_DATA'!$K658:$AU658)=37,COUNTIF('04_DATA'!$K658:$AU658,INDEX('04_DATA'!$K658:$AU658,1))=37),"EXCLUDE","ok"))</f>
        <v/>
      </c>
      <c r="G661" s="55">
        <f>IF('04_DATA'!A658="","",IF('04_DATA'!D658&lt;PERCENTILE('04_DATA'!$D$2:$D$1001,0.05),"FLAG","ok"))</f>
        <v/>
      </c>
      <c r="H661" s="55">
        <f>IF('04_DATA'!A658="","",IF(OR(C661="EXCLUDE",F661="EXCLUDE"),"Exclude under pre-specified rule",IF(E661&gt;0.15,"Exclude: &gt;15% missing",IF(G661="FLAG","Retain; test in robustness battery","Retain"))))</f>
        <v/>
      </c>
    </row>
    <row r="662">
      <c r="A662" s="55" t="n">
        <v>659</v>
      </c>
      <c r="B662" s="55">
        <f>IF('04_DATA'!A659="","",'04_DATA'!A659)</f>
        <v/>
      </c>
      <c r="C662" s="55">
        <f>IF('04_DATA'!A659="","",IF(AND('04_DATA'!G659=1,'04_DATA'!H659=1,'04_DATA'!I659&gt;=3),"eligible","EXCLUDE"))</f>
        <v/>
      </c>
      <c r="D662" s="55">
        <f>IF('04_DATA'!A659="","",37-COUNT('04_DATA'!$K659:$AU659))</f>
        <v/>
      </c>
      <c r="E662" s="63">
        <f>IF('04_DATA'!A659="","",(37-COUNT('04_DATA'!$K659:$AU659))/37)</f>
        <v/>
      </c>
      <c r="F662" s="55">
        <f>IF('04_DATA'!A659="","",IF(AND(COUNT('04_DATA'!$K659:$AU659)=37,COUNTIF('04_DATA'!$K659:$AU659,INDEX('04_DATA'!$K659:$AU659,1))=37),"EXCLUDE","ok"))</f>
        <v/>
      </c>
      <c r="G662" s="55">
        <f>IF('04_DATA'!A659="","",IF('04_DATA'!D659&lt;PERCENTILE('04_DATA'!$D$2:$D$1001,0.05),"FLAG","ok"))</f>
        <v/>
      </c>
      <c r="H662" s="55">
        <f>IF('04_DATA'!A659="","",IF(OR(C662="EXCLUDE",F662="EXCLUDE"),"Exclude under pre-specified rule",IF(E662&gt;0.15,"Exclude: &gt;15% missing",IF(G662="FLAG","Retain; test in robustness battery","Retain"))))</f>
        <v/>
      </c>
    </row>
    <row r="663">
      <c r="A663" s="55" t="n">
        <v>660</v>
      </c>
      <c r="B663" s="55">
        <f>IF('04_DATA'!A660="","",'04_DATA'!A660)</f>
        <v/>
      </c>
      <c r="C663" s="55">
        <f>IF('04_DATA'!A660="","",IF(AND('04_DATA'!G660=1,'04_DATA'!H660=1,'04_DATA'!I660&gt;=3),"eligible","EXCLUDE"))</f>
        <v/>
      </c>
      <c r="D663" s="55">
        <f>IF('04_DATA'!A660="","",37-COUNT('04_DATA'!$K660:$AU660))</f>
        <v/>
      </c>
      <c r="E663" s="63">
        <f>IF('04_DATA'!A660="","",(37-COUNT('04_DATA'!$K660:$AU660))/37)</f>
        <v/>
      </c>
      <c r="F663" s="55">
        <f>IF('04_DATA'!A660="","",IF(AND(COUNT('04_DATA'!$K660:$AU660)=37,COUNTIF('04_DATA'!$K660:$AU660,INDEX('04_DATA'!$K660:$AU660,1))=37),"EXCLUDE","ok"))</f>
        <v/>
      </c>
      <c r="G663" s="55">
        <f>IF('04_DATA'!A660="","",IF('04_DATA'!D660&lt;PERCENTILE('04_DATA'!$D$2:$D$1001,0.05),"FLAG","ok"))</f>
        <v/>
      </c>
      <c r="H663" s="55">
        <f>IF('04_DATA'!A660="","",IF(OR(C663="EXCLUDE",F663="EXCLUDE"),"Exclude under pre-specified rule",IF(E663&gt;0.15,"Exclude: &gt;15% missing",IF(G663="FLAG","Retain; test in robustness battery","Retain"))))</f>
        <v/>
      </c>
    </row>
    <row r="664">
      <c r="A664" s="55" t="n">
        <v>661</v>
      </c>
      <c r="B664" s="55">
        <f>IF('04_DATA'!A661="","",'04_DATA'!A661)</f>
        <v/>
      </c>
      <c r="C664" s="55">
        <f>IF('04_DATA'!A661="","",IF(AND('04_DATA'!G661=1,'04_DATA'!H661=1,'04_DATA'!I661&gt;=3),"eligible","EXCLUDE"))</f>
        <v/>
      </c>
      <c r="D664" s="55">
        <f>IF('04_DATA'!A661="","",37-COUNT('04_DATA'!$K661:$AU661))</f>
        <v/>
      </c>
      <c r="E664" s="63">
        <f>IF('04_DATA'!A661="","",(37-COUNT('04_DATA'!$K661:$AU661))/37)</f>
        <v/>
      </c>
      <c r="F664" s="55">
        <f>IF('04_DATA'!A661="","",IF(AND(COUNT('04_DATA'!$K661:$AU661)=37,COUNTIF('04_DATA'!$K661:$AU661,INDEX('04_DATA'!$K661:$AU661,1))=37),"EXCLUDE","ok"))</f>
        <v/>
      </c>
      <c r="G664" s="55">
        <f>IF('04_DATA'!A661="","",IF('04_DATA'!D661&lt;PERCENTILE('04_DATA'!$D$2:$D$1001,0.05),"FLAG","ok"))</f>
        <v/>
      </c>
      <c r="H664" s="55">
        <f>IF('04_DATA'!A661="","",IF(OR(C664="EXCLUDE",F664="EXCLUDE"),"Exclude under pre-specified rule",IF(E664&gt;0.15,"Exclude: &gt;15% missing",IF(G664="FLAG","Retain; test in robustness battery","Retain"))))</f>
        <v/>
      </c>
    </row>
    <row r="665">
      <c r="A665" s="55" t="n">
        <v>662</v>
      </c>
      <c r="B665" s="55">
        <f>IF('04_DATA'!A662="","",'04_DATA'!A662)</f>
        <v/>
      </c>
      <c r="C665" s="55">
        <f>IF('04_DATA'!A662="","",IF(AND('04_DATA'!G662=1,'04_DATA'!H662=1,'04_DATA'!I662&gt;=3),"eligible","EXCLUDE"))</f>
        <v/>
      </c>
      <c r="D665" s="55">
        <f>IF('04_DATA'!A662="","",37-COUNT('04_DATA'!$K662:$AU662))</f>
        <v/>
      </c>
      <c r="E665" s="63">
        <f>IF('04_DATA'!A662="","",(37-COUNT('04_DATA'!$K662:$AU662))/37)</f>
        <v/>
      </c>
      <c r="F665" s="55">
        <f>IF('04_DATA'!A662="","",IF(AND(COUNT('04_DATA'!$K662:$AU662)=37,COUNTIF('04_DATA'!$K662:$AU662,INDEX('04_DATA'!$K662:$AU662,1))=37),"EXCLUDE","ok"))</f>
        <v/>
      </c>
      <c r="G665" s="55">
        <f>IF('04_DATA'!A662="","",IF('04_DATA'!D662&lt;PERCENTILE('04_DATA'!$D$2:$D$1001,0.05),"FLAG","ok"))</f>
        <v/>
      </c>
      <c r="H665" s="55">
        <f>IF('04_DATA'!A662="","",IF(OR(C665="EXCLUDE",F665="EXCLUDE"),"Exclude under pre-specified rule",IF(E665&gt;0.15,"Exclude: &gt;15% missing",IF(G665="FLAG","Retain; test in robustness battery","Retain"))))</f>
        <v/>
      </c>
    </row>
    <row r="666">
      <c r="A666" s="55" t="n">
        <v>663</v>
      </c>
      <c r="B666" s="55">
        <f>IF('04_DATA'!A663="","",'04_DATA'!A663)</f>
        <v/>
      </c>
      <c r="C666" s="55">
        <f>IF('04_DATA'!A663="","",IF(AND('04_DATA'!G663=1,'04_DATA'!H663=1,'04_DATA'!I663&gt;=3),"eligible","EXCLUDE"))</f>
        <v/>
      </c>
      <c r="D666" s="55">
        <f>IF('04_DATA'!A663="","",37-COUNT('04_DATA'!$K663:$AU663))</f>
        <v/>
      </c>
      <c r="E666" s="63">
        <f>IF('04_DATA'!A663="","",(37-COUNT('04_DATA'!$K663:$AU663))/37)</f>
        <v/>
      </c>
      <c r="F666" s="55">
        <f>IF('04_DATA'!A663="","",IF(AND(COUNT('04_DATA'!$K663:$AU663)=37,COUNTIF('04_DATA'!$K663:$AU663,INDEX('04_DATA'!$K663:$AU663,1))=37),"EXCLUDE","ok"))</f>
        <v/>
      </c>
      <c r="G666" s="55">
        <f>IF('04_DATA'!A663="","",IF('04_DATA'!D663&lt;PERCENTILE('04_DATA'!$D$2:$D$1001,0.05),"FLAG","ok"))</f>
        <v/>
      </c>
      <c r="H666" s="55">
        <f>IF('04_DATA'!A663="","",IF(OR(C666="EXCLUDE",F666="EXCLUDE"),"Exclude under pre-specified rule",IF(E666&gt;0.15,"Exclude: &gt;15% missing",IF(G666="FLAG","Retain; test in robustness battery","Retain"))))</f>
        <v/>
      </c>
    </row>
    <row r="667">
      <c r="A667" s="55" t="n">
        <v>664</v>
      </c>
      <c r="B667" s="55">
        <f>IF('04_DATA'!A664="","",'04_DATA'!A664)</f>
        <v/>
      </c>
      <c r="C667" s="55">
        <f>IF('04_DATA'!A664="","",IF(AND('04_DATA'!G664=1,'04_DATA'!H664=1,'04_DATA'!I664&gt;=3),"eligible","EXCLUDE"))</f>
        <v/>
      </c>
      <c r="D667" s="55">
        <f>IF('04_DATA'!A664="","",37-COUNT('04_DATA'!$K664:$AU664))</f>
        <v/>
      </c>
      <c r="E667" s="63">
        <f>IF('04_DATA'!A664="","",(37-COUNT('04_DATA'!$K664:$AU664))/37)</f>
        <v/>
      </c>
      <c r="F667" s="55">
        <f>IF('04_DATA'!A664="","",IF(AND(COUNT('04_DATA'!$K664:$AU664)=37,COUNTIF('04_DATA'!$K664:$AU664,INDEX('04_DATA'!$K664:$AU664,1))=37),"EXCLUDE","ok"))</f>
        <v/>
      </c>
      <c r="G667" s="55">
        <f>IF('04_DATA'!A664="","",IF('04_DATA'!D664&lt;PERCENTILE('04_DATA'!$D$2:$D$1001,0.05),"FLAG","ok"))</f>
        <v/>
      </c>
      <c r="H667" s="55">
        <f>IF('04_DATA'!A664="","",IF(OR(C667="EXCLUDE",F667="EXCLUDE"),"Exclude under pre-specified rule",IF(E667&gt;0.15,"Exclude: &gt;15% missing",IF(G667="FLAG","Retain; test in robustness battery","Retain"))))</f>
        <v/>
      </c>
    </row>
    <row r="668">
      <c r="A668" s="55" t="n">
        <v>665</v>
      </c>
      <c r="B668" s="55">
        <f>IF('04_DATA'!A665="","",'04_DATA'!A665)</f>
        <v/>
      </c>
      <c r="C668" s="55">
        <f>IF('04_DATA'!A665="","",IF(AND('04_DATA'!G665=1,'04_DATA'!H665=1,'04_DATA'!I665&gt;=3),"eligible","EXCLUDE"))</f>
        <v/>
      </c>
      <c r="D668" s="55">
        <f>IF('04_DATA'!A665="","",37-COUNT('04_DATA'!$K665:$AU665))</f>
        <v/>
      </c>
      <c r="E668" s="63">
        <f>IF('04_DATA'!A665="","",(37-COUNT('04_DATA'!$K665:$AU665))/37)</f>
        <v/>
      </c>
      <c r="F668" s="55">
        <f>IF('04_DATA'!A665="","",IF(AND(COUNT('04_DATA'!$K665:$AU665)=37,COUNTIF('04_DATA'!$K665:$AU665,INDEX('04_DATA'!$K665:$AU665,1))=37),"EXCLUDE","ok"))</f>
        <v/>
      </c>
      <c r="G668" s="55">
        <f>IF('04_DATA'!A665="","",IF('04_DATA'!D665&lt;PERCENTILE('04_DATA'!$D$2:$D$1001,0.05),"FLAG","ok"))</f>
        <v/>
      </c>
      <c r="H668" s="55">
        <f>IF('04_DATA'!A665="","",IF(OR(C668="EXCLUDE",F668="EXCLUDE"),"Exclude under pre-specified rule",IF(E668&gt;0.15,"Exclude: &gt;15% missing",IF(G668="FLAG","Retain; test in robustness battery","Retain"))))</f>
        <v/>
      </c>
    </row>
    <row r="669">
      <c r="A669" s="55" t="n">
        <v>666</v>
      </c>
      <c r="B669" s="55">
        <f>IF('04_DATA'!A666="","",'04_DATA'!A666)</f>
        <v/>
      </c>
      <c r="C669" s="55">
        <f>IF('04_DATA'!A666="","",IF(AND('04_DATA'!G666=1,'04_DATA'!H666=1,'04_DATA'!I666&gt;=3),"eligible","EXCLUDE"))</f>
        <v/>
      </c>
      <c r="D669" s="55">
        <f>IF('04_DATA'!A666="","",37-COUNT('04_DATA'!$K666:$AU666))</f>
        <v/>
      </c>
      <c r="E669" s="63">
        <f>IF('04_DATA'!A666="","",(37-COUNT('04_DATA'!$K666:$AU666))/37)</f>
        <v/>
      </c>
      <c r="F669" s="55">
        <f>IF('04_DATA'!A666="","",IF(AND(COUNT('04_DATA'!$K666:$AU666)=37,COUNTIF('04_DATA'!$K666:$AU666,INDEX('04_DATA'!$K666:$AU666,1))=37),"EXCLUDE","ok"))</f>
        <v/>
      </c>
      <c r="G669" s="55">
        <f>IF('04_DATA'!A666="","",IF('04_DATA'!D666&lt;PERCENTILE('04_DATA'!$D$2:$D$1001,0.05),"FLAG","ok"))</f>
        <v/>
      </c>
      <c r="H669" s="55">
        <f>IF('04_DATA'!A666="","",IF(OR(C669="EXCLUDE",F669="EXCLUDE"),"Exclude under pre-specified rule",IF(E669&gt;0.15,"Exclude: &gt;15% missing",IF(G669="FLAG","Retain; test in robustness battery","Retain"))))</f>
        <v/>
      </c>
    </row>
    <row r="670">
      <c r="A670" s="55" t="n">
        <v>667</v>
      </c>
      <c r="B670" s="55">
        <f>IF('04_DATA'!A667="","",'04_DATA'!A667)</f>
        <v/>
      </c>
      <c r="C670" s="55">
        <f>IF('04_DATA'!A667="","",IF(AND('04_DATA'!G667=1,'04_DATA'!H667=1,'04_DATA'!I667&gt;=3),"eligible","EXCLUDE"))</f>
        <v/>
      </c>
      <c r="D670" s="55">
        <f>IF('04_DATA'!A667="","",37-COUNT('04_DATA'!$K667:$AU667))</f>
        <v/>
      </c>
      <c r="E670" s="63">
        <f>IF('04_DATA'!A667="","",(37-COUNT('04_DATA'!$K667:$AU667))/37)</f>
        <v/>
      </c>
      <c r="F670" s="55">
        <f>IF('04_DATA'!A667="","",IF(AND(COUNT('04_DATA'!$K667:$AU667)=37,COUNTIF('04_DATA'!$K667:$AU667,INDEX('04_DATA'!$K667:$AU667,1))=37),"EXCLUDE","ok"))</f>
        <v/>
      </c>
      <c r="G670" s="55">
        <f>IF('04_DATA'!A667="","",IF('04_DATA'!D667&lt;PERCENTILE('04_DATA'!$D$2:$D$1001,0.05),"FLAG","ok"))</f>
        <v/>
      </c>
      <c r="H670" s="55">
        <f>IF('04_DATA'!A667="","",IF(OR(C670="EXCLUDE",F670="EXCLUDE"),"Exclude under pre-specified rule",IF(E670&gt;0.15,"Exclude: &gt;15% missing",IF(G670="FLAG","Retain; test in robustness battery","Retain"))))</f>
        <v/>
      </c>
    </row>
    <row r="671">
      <c r="A671" s="55" t="n">
        <v>668</v>
      </c>
      <c r="B671" s="55">
        <f>IF('04_DATA'!A668="","",'04_DATA'!A668)</f>
        <v/>
      </c>
      <c r="C671" s="55">
        <f>IF('04_DATA'!A668="","",IF(AND('04_DATA'!G668=1,'04_DATA'!H668=1,'04_DATA'!I668&gt;=3),"eligible","EXCLUDE"))</f>
        <v/>
      </c>
      <c r="D671" s="55">
        <f>IF('04_DATA'!A668="","",37-COUNT('04_DATA'!$K668:$AU668))</f>
        <v/>
      </c>
      <c r="E671" s="63">
        <f>IF('04_DATA'!A668="","",(37-COUNT('04_DATA'!$K668:$AU668))/37)</f>
        <v/>
      </c>
      <c r="F671" s="55">
        <f>IF('04_DATA'!A668="","",IF(AND(COUNT('04_DATA'!$K668:$AU668)=37,COUNTIF('04_DATA'!$K668:$AU668,INDEX('04_DATA'!$K668:$AU668,1))=37),"EXCLUDE","ok"))</f>
        <v/>
      </c>
      <c r="G671" s="55">
        <f>IF('04_DATA'!A668="","",IF('04_DATA'!D668&lt;PERCENTILE('04_DATA'!$D$2:$D$1001,0.05),"FLAG","ok"))</f>
        <v/>
      </c>
      <c r="H671" s="55">
        <f>IF('04_DATA'!A668="","",IF(OR(C671="EXCLUDE",F671="EXCLUDE"),"Exclude under pre-specified rule",IF(E671&gt;0.15,"Exclude: &gt;15% missing",IF(G671="FLAG","Retain; test in robustness battery","Retain"))))</f>
        <v/>
      </c>
    </row>
    <row r="672">
      <c r="A672" s="55" t="n">
        <v>669</v>
      </c>
      <c r="B672" s="55">
        <f>IF('04_DATA'!A669="","",'04_DATA'!A669)</f>
        <v/>
      </c>
      <c r="C672" s="55">
        <f>IF('04_DATA'!A669="","",IF(AND('04_DATA'!G669=1,'04_DATA'!H669=1,'04_DATA'!I669&gt;=3),"eligible","EXCLUDE"))</f>
        <v/>
      </c>
      <c r="D672" s="55">
        <f>IF('04_DATA'!A669="","",37-COUNT('04_DATA'!$K669:$AU669))</f>
        <v/>
      </c>
      <c r="E672" s="63">
        <f>IF('04_DATA'!A669="","",(37-COUNT('04_DATA'!$K669:$AU669))/37)</f>
        <v/>
      </c>
      <c r="F672" s="55">
        <f>IF('04_DATA'!A669="","",IF(AND(COUNT('04_DATA'!$K669:$AU669)=37,COUNTIF('04_DATA'!$K669:$AU669,INDEX('04_DATA'!$K669:$AU669,1))=37),"EXCLUDE","ok"))</f>
        <v/>
      </c>
      <c r="G672" s="55">
        <f>IF('04_DATA'!A669="","",IF('04_DATA'!D669&lt;PERCENTILE('04_DATA'!$D$2:$D$1001,0.05),"FLAG","ok"))</f>
        <v/>
      </c>
      <c r="H672" s="55">
        <f>IF('04_DATA'!A669="","",IF(OR(C672="EXCLUDE",F672="EXCLUDE"),"Exclude under pre-specified rule",IF(E672&gt;0.15,"Exclude: &gt;15% missing",IF(G672="FLAG","Retain; test in robustness battery","Retain"))))</f>
        <v/>
      </c>
    </row>
    <row r="673">
      <c r="A673" s="55" t="n">
        <v>670</v>
      </c>
      <c r="B673" s="55">
        <f>IF('04_DATA'!A670="","",'04_DATA'!A670)</f>
        <v/>
      </c>
      <c r="C673" s="55">
        <f>IF('04_DATA'!A670="","",IF(AND('04_DATA'!G670=1,'04_DATA'!H670=1,'04_DATA'!I670&gt;=3),"eligible","EXCLUDE"))</f>
        <v/>
      </c>
      <c r="D673" s="55">
        <f>IF('04_DATA'!A670="","",37-COUNT('04_DATA'!$K670:$AU670))</f>
        <v/>
      </c>
      <c r="E673" s="63">
        <f>IF('04_DATA'!A670="","",(37-COUNT('04_DATA'!$K670:$AU670))/37)</f>
        <v/>
      </c>
      <c r="F673" s="55">
        <f>IF('04_DATA'!A670="","",IF(AND(COUNT('04_DATA'!$K670:$AU670)=37,COUNTIF('04_DATA'!$K670:$AU670,INDEX('04_DATA'!$K670:$AU670,1))=37),"EXCLUDE","ok"))</f>
        <v/>
      </c>
      <c r="G673" s="55">
        <f>IF('04_DATA'!A670="","",IF('04_DATA'!D670&lt;PERCENTILE('04_DATA'!$D$2:$D$1001,0.05),"FLAG","ok"))</f>
        <v/>
      </c>
      <c r="H673" s="55">
        <f>IF('04_DATA'!A670="","",IF(OR(C673="EXCLUDE",F673="EXCLUDE"),"Exclude under pre-specified rule",IF(E673&gt;0.15,"Exclude: &gt;15% missing",IF(G673="FLAG","Retain; test in robustness battery","Retain"))))</f>
        <v/>
      </c>
    </row>
    <row r="674">
      <c r="A674" s="55" t="n">
        <v>671</v>
      </c>
      <c r="B674" s="55">
        <f>IF('04_DATA'!A671="","",'04_DATA'!A671)</f>
        <v/>
      </c>
      <c r="C674" s="55">
        <f>IF('04_DATA'!A671="","",IF(AND('04_DATA'!G671=1,'04_DATA'!H671=1,'04_DATA'!I671&gt;=3),"eligible","EXCLUDE"))</f>
        <v/>
      </c>
      <c r="D674" s="55">
        <f>IF('04_DATA'!A671="","",37-COUNT('04_DATA'!$K671:$AU671))</f>
        <v/>
      </c>
      <c r="E674" s="63">
        <f>IF('04_DATA'!A671="","",(37-COUNT('04_DATA'!$K671:$AU671))/37)</f>
        <v/>
      </c>
      <c r="F674" s="55">
        <f>IF('04_DATA'!A671="","",IF(AND(COUNT('04_DATA'!$K671:$AU671)=37,COUNTIF('04_DATA'!$K671:$AU671,INDEX('04_DATA'!$K671:$AU671,1))=37),"EXCLUDE","ok"))</f>
        <v/>
      </c>
      <c r="G674" s="55">
        <f>IF('04_DATA'!A671="","",IF('04_DATA'!D671&lt;PERCENTILE('04_DATA'!$D$2:$D$1001,0.05),"FLAG","ok"))</f>
        <v/>
      </c>
      <c r="H674" s="55">
        <f>IF('04_DATA'!A671="","",IF(OR(C674="EXCLUDE",F674="EXCLUDE"),"Exclude under pre-specified rule",IF(E674&gt;0.15,"Exclude: &gt;15% missing",IF(G674="FLAG","Retain; test in robustness battery","Retain"))))</f>
        <v/>
      </c>
    </row>
    <row r="675">
      <c r="A675" s="55" t="n">
        <v>672</v>
      </c>
      <c r="B675" s="55">
        <f>IF('04_DATA'!A672="","",'04_DATA'!A672)</f>
        <v/>
      </c>
      <c r="C675" s="55">
        <f>IF('04_DATA'!A672="","",IF(AND('04_DATA'!G672=1,'04_DATA'!H672=1,'04_DATA'!I672&gt;=3),"eligible","EXCLUDE"))</f>
        <v/>
      </c>
      <c r="D675" s="55">
        <f>IF('04_DATA'!A672="","",37-COUNT('04_DATA'!$K672:$AU672))</f>
        <v/>
      </c>
      <c r="E675" s="63">
        <f>IF('04_DATA'!A672="","",(37-COUNT('04_DATA'!$K672:$AU672))/37)</f>
        <v/>
      </c>
      <c r="F675" s="55">
        <f>IF('04_DATA'!A672="","",IF(AND(COUNT('04_DATA'!$K672:$AU672)=37,COUNTIF('04_DATA'!$K672:$AU672,INDEX('04_DATA'!$K672:$AU672,1))=37),"EXCLUDE","ok"))</f>
        <v/>
      </c>
      <c r="G675" s="55">
        <f>IF('04_DATA'!A672="","",IF('04_DATA'!D672&lt;PERCENTILE('04_DATA'!$D$2:$D$1001,0.05),"FLAG","ok"))</f>
        <v/>
      </c>
      <c r="H675" s="55">
        <f>IF('04_DATA'!A672="","",IF(OR(C675="EXCLUDE",F675="EXCLUDE"),"Exclude under pre-specified rule",IF(E675&gt;0.15,"Exclude: &gt;15% missing",IF(G675="FLAG","Retain; test in robustness battery","Retain"))))</f>
        <v/>
      </c>
    </row>
    <row r="676">
      <c r="A676" s="55" t="n">
        <v>673</v>
      </c>
      <c r="B676" s="55">
        <f>IF('04_DATA'!A673="","",'04_DATA'!A673)</f>
        <v/>
      </c>
      <c r="C676" s="55">
        <f>IF('04_DATA'!A673="","",IF(AND('04_DATA'!G673=1,'04_DATA'!H673=1,'04_DATA'!I673&gt;=3),"eligible","EXCLUDE"))</f>
        <v/>
      </c>
      <c r="D676" s="55">
        <f>IF('04_DATA'!A673="","",37-COUNT('04_DATA'!$K673:$AU673))</f>
        <v/>
      </c>
      <c r="E676" s="63">
        <f>IF('04_DATA'!A673="","",(37-COUNT('04_DATA'!$K673:$AU673))/37)</f>
        <v/>
      </c>
      <c r="F676" s="55">
        <f>IF('04_DATA'!A673="","",IF(AND(COUNT('04_DATA'!$K673:$AU673)=37,COUNTIF('04_DATA'!$K673:$AU673,INDEX('04_DATA'!$K673:$AU673,1))=37),"EXCLUDE","ok"))</f>
        <v/>
      </c>
      <c r="G676" s="55">
        <f>IF('04_DATA'!A673="","",IF('04_DATA'!D673&lt;PERCENTILE('04_DATA'!$D$2:$D$1001,0.05),"FLAG","ok"))</f>
        <v/>
      </c>
      <c r="H676" s="55">
        <f>IF('04_DATA'!A673="","",IF(OR(C676="EXCLUDE",F676="EXCLUDE"),"Exclude under pre-specified rule",IF(E676&gt;0.15,"Exclude: &gt;15% missing",IF(G676="FLAG","Retain; test in robustness battery","Retain"))))</f>
        <v/>
      </c>
    </row>
    <row r="677">
      <c r="A677" s="55" t="n">
        <v>674</v>
      </c>
      <c r="B677" s="55">
        <f>IF('04_DATA'!A674="","",'04_DATA'!A674)</f>
        <v/>
      </c>
      <c r="C677" s="55">
        <f>IF('04_DATA'!A674="","",IF(AND('04_DATA'!G674=1,'04_DATA'!H674=1,'04_DATA'!I674&gt;=3),"eligible","EXCLUDE"))</f>
        <v/>
      </c>
      <c r="D677" s="55">
        <f>IF('04_DATA'!A674="","",37-COUNT('04_DATA'!$K674:$AU674))</f>
        <v/>
      </c>
      <c r="E677" s="63">
        <f>IF('04_DATA'!A674="","",(37-COUNT('04_DATA'!$K674:$AU674))/37)</f>
        <v/>
      </c>
      <c r="F677" s="55">
        <f>IF('04_DATA'!A674="","",IF(AND(COUNT('04_DATA'!$K674:$AU674)=37,COUNTIF('04_DATA'!$K674:$AU674,INDEX('04_DATA'!$K674:$AU674,1))=37),"EXCLUDE","ok"))</f>
        <v/>
      </c>
      <c r="G677" s="55">
        <f>IF('04_DATA'!A674="","",IF('04_DATA'!D674&lt;PERCENTILE('04_DATA'!$D$2:$D$1001,0.05),"FLAG","ok"))</f>
        <v/>
      </c>
      <c r="H677" s="55">
        <f>IF('04_DATA'!A674="","",IF(OR(C677="EXCLUDE",F677="EXCLUDE"),"Exclude under pre-specified rule",IF(E677&gt;0.15,"Exclude: &gt;15% missing",IF(G677="FLAG","Retain; test in robustness battery","Retain"))))</f>
        <v/>
      </c>
    </row>
    <row r="678">
      <c r="A678" s="55" t="n">
        <v>675</v>
      </c>
      <c r="B678" s="55">
        <f>IF('04_DATA'!A675="","",'04_DATA'!A675)</f>
        <v/>
      </c>
      <c r="C678" s="55">
        <f>IF('04_DATA'!A675="","",IF(AND('04_DATA'!G675=1,'04_DATA'!H675=1,'04_DATA'!I675&gt;=3),"eligible","EXCLUDE"))</f>
        <v/>
      </c>
      <c r="D678" s="55">
        <f>IF('04_DATA'!A675="","",37-COUNT('04_DATA'!$K675:$AU675))</f>
        <v/>
      </c>
      <c r="E678" s="63">
        <f>IF('04_DATA'!A675="","",(37-COUNT('04_DATA'!$K675:$AU675))/37)</f>
        <v/>
      </c>
      <c r="F678" s="55">
        <f>IF('04_DATA'!A675="","",IF(AND(COUNT('04_DATA'!$K675:$AU675)=37,COUNTIF('04_DATA'!$K675:$AU675,INDEX('04_DATA'!$K675:$AU675,1))=37),"EXCLUDE","ok"))</f>
        <v/>
      </c>
      <c r="G678" s="55">
        <f>IF('04_DATA'!A675="","",IF('04_DATA'!D675&lt;PERCENTILE('04_DATA'!$D$2:$D$1001,0.05),"FLAG","ok"))</f>
        <v/>
      </c>
      <c r="H678" s="55">
        <f>IF('04_DATA'!A675="","",IF(OR(C678="EXCLUDE",F678="EXCLUDE"),"Exclude under pre-specified rule",IF(E678&gt;0.15,"Exclude: &gt;15% missing",IF(G678="FLAG","Retain; test in robustness battery","Retain"))))</f>
        <v/>
      </c>
    </row>
    <row r="679">
      <c r="A679" s="55" t="n">
        <v>676</v>
      </c>
      <c r="B679" s="55">
        <f>IF('04_DATA'!A676="","",'04_DATA'!A676)</f>
        <v/>
      </c>
      <c r="C679" s="55">
        <f>IF('04_DATA'!A676="","",IF(AND('04_DATA'!G676=1,'04_DATA'!H676=1,'04_DATA'!I676&gt;=3),"eligible","EXCLUDE"))</f>
        <v/>
      </c>
      <c r="D679" s="55">
        <f>IF('04_DATA'!A676="","",37-COUNT('04_DATA'!$K676:$AU676))</f>
        <v/>
      </c>
      <c r="E679" s="63">
        <f>IF('04_DATA'!A676="","",(37-COUNT('04_DATA'!$K676:$AU676))/37)</f>
        <v/>
      </c>
      <c r="F679" s="55">
        <f>IF('04_DATA'!A676="","",IF(AND(COUNT('04_DATA'!$K676:$AU676)=37,COUNTIF('04_DATA'!$K676:$AU676,INDEX('04_DATA'!$K676:$AU676,1))=37),"EXCLUDE","ok"))</f>
        <v/>
      </c>
      <c r="G679" s="55">
        <f>IF('04_DATA'!A676="","",IF('04_DATA'!D676&lt;PERCENTILE('04_DATA'!$D$2:$D$1001,0.05),"FLAG","ok"))</f>
        <v/>
      </c>
      <c r="H679" s="55">
        <f>IF('04_DATA'!A676="","",IF(OR(C679="EXCLUDE",F679="EXCLUDE"),"Exclude under pre-specified rule",IF(E679&gt;0.15,"Exclude: &gt;15% missing",IF(G679="FLAG","Retain; test in robustness battery","Retain"))))</f>
        <v/>
      </c>
    </row>
    <row r="680">
      <c r="A680" s="55" t="n">
        <v>677</v>
      </c>
      <c r="B680" s="55">
        <f>IF('04_DATA'!A677="","",'04_DATA'!A677)</f>
        <v/>
      </c>
      <c r="C680" s="55">
        <f>IF('04_DATA'!A677="","",IF(AND('04_DATA'!G677=1,'04_DATA'!H677=1,'04_DATA'!I677&gt;=3),"eligible","EXCLUDE"))</f>
        <v/>
      </c>
      <c r="D680" s="55">
        <f>IF('04_DATA'!A677="","",37-COUNT('04_DATA'!$K677:$AU677))</f>
        <v/>
      </c>
      <c r="E680" s="63">
        <f>IF('04_DATA'!A677="","",(37-COUNT('04_DATA'!$K677:$AU677))/37)</f>
        <v/>
      </c>
      <c r="F680" s="55">
        <f>IF('04_DATA'!A677="","",IF(AND(COUNT('04_DATA'!$K677:$AU677)=37,COUNTIF('04_DATA'!$K677:$AU677,INDEX('04_DATA'!$K677:$AU677,1))=37),"EXCLUDE","ok"))</f>
        <v/>
      </c>
      <c r="G680" s="55">
        <f>IF('04_DATA'!A677="","",IF('04_DATA'!D677&lt;PERCENTILE('04_DATA'!$D$2:$D$1001,0.05),"FLAG","ok"))</f>
        <v/>
      </c>
      <c r="H680" s="55">
        <f>IF('04_DATA'!A677="","",IF(OR(C680="EXCLUDE",F680="EXCLUDE"),"Exclude under pre-specified rule",IF(E680&gt;0.15,"Exclude: &gt;15% missing",IF(G680="FLAG","Retain; test in robustness battery","Retain"))))</f>
        <v/>
      </c>
    </row>
    <row r="681">
      <c r="A681" s="55" t="n">
        <v>678</v>
      </c>
      <c r="B681" s="55">
        <f>IF('04_DATA'!A678="","",'04_DATA'!A678)</f>
        <v/>
      </c>
      <c r="C681" s="55">
        <f>IF('04_DATA'!A678="","",IF(AND('04_DATA'!G678=1,'04_DATA'!H678=1,'04_DATA'!I678&gt;=3),"eligible","EXCLUDE"))</f>
        <v/>
      </c>
      <c r="D681" s="55">
        <f>IF('04_DATA'!A678="","",37-COUNT('04_DATA'!$K678:$AU678))</f>
        <v/>
      </c>
      <c r="E681" s="63">
        <f>IF('04_DATA'!A678="","",(37-COUNT('04_DATA'!$K678:$AU678))/37)</f>
        <v/>
      </c>
      <c r="F681" s="55">
        <f>IF('04_DATA'!A678="","",IF(AND(COUNT('04_DATA'!$K678:$AU678)=37,COUNTIF('04_DATA'!$K678:$AU678,INDEX('04_DATA'!$K678:$AU678,1))=37),"EXCLUDE","ok"))</f>
        <v/>
      </c>
      <c r="G681" s="55">
        <f>IF('04_DATA'!A678="","",IF('04_DATA'!D678&lt;PERCENTILE('04_DATA'!$D$2:$D$1001,0.05),"FLAG","ok"))</f>
        <v/>
      </c>
      <c r="H681" s="55">
        <f>IF('04_DATA'!A678="","",IF(OR(C681="EXCLUDE",F681="EXCLUDE"),"Exclude under pre-specified rule",IF(E681&gt;0.15,"Exclude: &gt;15% missing",IF(G681="FLAG","Retain; test in robustness battery","Retain"))))</f>
        <v/>
      </c>
    </row>
    <row r="682">
      <c r="A682" s="55" t="n">
        <v>679</v>
      </c>
      <c r="B682" s="55">
        <f>IF('04_DATA'!A679="","",'04_DATA'!A679)</f>
        <v/>
      </c>
      <c r="C682" s="55">
        <f>IF('04_DATA'!A679="","",IF(AND('04_DATA'!G679=1,'04_DATA'!H679=1,'04_DATA'!I679&gt;=3),"eligible","EXCLUDE"))</f>
        <v/>
      </c>
      <c r="D682" s="55">
        <f>IF('04_DATA'!A679="","",37-COUNT('04_DATA'!$K679:$AU679))</f>
        <v/>
      </c>
      <c r="E682" s="63">
        <f>IF('04_DATA'!A679="","",(37-COUNT('04_DATA'!$K679:$AU679))/37)</f>
        <v/>
      </c>
      <c r="F682" s="55">
        <f>IF('04_DATA'!A679="","",IF(AND(COUNT('04_DATA'!$K679:$AU679)=37,COUNTIF('04_DATA'!$K679:$AU679,INDEX('04_DATA'!$K679:$AU679,1))=37),"EXCLUDE","ok"))</f>
        <v/>
      </c>
      <c r="G682" s="55">
        <f>IF('04_DATA'!A679="","",IF('04_DATA'!D679&lt;PERCENTILE('04_DATA'!$D$2:$D$1001,0.05),"FLAG","ok"))</f>
        <v/>
      </c>
      <c r="H682" s="55">
        <f>IF('04_DATA'!A679="","",IF(OR(C682="EXCLUDE",F682="EXCLUDE"),"Exclude under pre-specified rule",IF(E682&gt;0.15,"Exclude: &gt;15% missing",IF(G682="FLAG","Retain; test in robustness battery","Retain"))))</f>
        <v/>
      </c>
    </row>
    <row r="683">
      <c r="A683" s="55" t="n">
        <v>680</v>
      </c>
      <c r="B683" s="55">
        <f>IF('04_DATA'!A680="","",'04_DATA'!A680)</f>
        <v/>
      </c>
      <c r="C683" s="55">
        <f>IF('04_DATA'!A680="","",IF(AND('04_DATA'!G680=1,'04_DATA'!H680=1,'04_DATA'!I680&gt;=3),"eligible","EXCLUDE"))</f>
        <v/>
      </c>
      <c r="D683" s="55">
        <f>IF('04_DATA'!A680="","",37-COUNT('04_DATA'!$K680:$AU680))</f>
        <v/>
      </c>
      <c r="E683" s="63">
        <f>IF('04_DATA'!A680="","",(37-COUNT('04_DATA'!$K680:$AU680))/37)</f>
        <v/>
      </c>
      <c r="F683" s="55">
        <f>IF('04_DATA'!A680="","",IF(AND(COUNT('04_DATA'!$K680:$AU680)=37,COUNTIF('04_DATA'!$K680:$AU680,INDEX('04_DATA'!$K680:$AU680,1))=37),"EXCLUDE","ok"))</f>
        <v/>
      </c>
      <c r="G683" s="55">
        <f>IF('04_DATA'!A680="","",IF('04_DATA'!D680&lt;PERCENTILE('04_DATA'!$D$2:$D$1001,0.05),"FLAG","ok"))</f>
        <v/>
      </c>
      <c r="H683" s="55">
        <f>IF('04_DATA'!A680="","",IF(OR(C683="EXCLUDE",F683="EXCLUDE"),"Exclude under pre-specified rule",IF(E683&gt;0.15,"Exclude: &gt;15% missing",IF(G683="FLAG","Retain; test in robustness battery","Retain"))))</f>
        <v/>
      </c>
    </row>
    <row r="684">
      <c r="A684" s="55" t="n">
        <v>681</v>
      </c>
      <c r="B684" s="55">
        <f>IF('04_DATA'!A681="","",'04_DATA'!A681)</f>
        <v/>
      </c>
      <c r="C684" s="55">
        <f>IF('04_DATA'!A681="","",IF(AND('04_DATA'!G681=1,'04_DATA'!H681=1,'04_DATA'!I681&gt;=3),"eligible","EXCLUDE"))</f>
        <v/>
      </c>
      <c r="D684" s="55">
        <f>IF('04_DATA'!A681="","",37-COUNT('04_DATA'!$K681:$AU681))</f>
        <v/>
      </c>
      <c r="E684" s="63">
        <f>IF('04_DATA'!A681="","",(37-COUNT('04_DATA'!$K681:$AU681))/37)</f>
        <v/>
      </c>
      <c r="F684" s="55">
        <f>IF('04_DATA'!A681="","",IF(AND(COUNT('04_DATA'!$K681:$AU681)=37,COUNTIF('04_DATA'!$K681:$AU681,INDEX('04_DATA'!$K681:$AU681,1))=37),"EXCLUDE","ok"))</f>
        <v/>
      </c>
      <c r="G684" s="55">
        <f>IF('04_DATA'!A681="","",IF('04_DATA'!D681&lt;PERCENTILE('04_DATA'!$D$2:$D$1001,0.05),"FLAG","ok"))</f>
        <v/>
      </c>
      <c r="H684" s="55">
        <f>IF('04_DATA'!A681="","",IF(OR(C684="EXCLUDE",F684="EXCLUDE"),"Exclude under pre-specified rule",IF(E684&gt;0.15,"Exclude: &gt;15% missing",IF(G684="FLAG","Retain; test in robustness battery","Retain"))))</f>
        <v/>
      </c>
    </row>
    <row r="685">
      <c r="A685" s="55" t="n">
        <v>682</v>
      </c>
      <c r="B685" s="55">
        <f>IF('04_DATA'!A682="","",'04_DATA'!A682)</f>
        <v/>
      </c>
      <c r="C685" s="55">
        <f>IF('04_DATA'!A682="","",IF(AND('04_DATA'!G682=1,'04_DATA'!H682=1,'04_DATA'!I682&gt;=3),"eligible","EXCLUDE"))</f>
        <v/>
      </c>
      <c r="D685" s="55">
        <f>IF('04_DATA'!A682="","",37-COUNT('04_DATA'!$K682:$AU682))</f>
        <v/>
      </c>
      <c r="E685" s="63">
        <f>IF('04_DATA'!A682="","",(37-COUNT('04_DATA'!$K682:$AU682))/37)</f>
        <v/>
      </c>
      <c r="F685" s="55">
        <f>IF('04_DATA'!A682="","",IF(AND(COUNT('04_DATA'!$K682:$AU682)=37,COUNTIF('04_DATA'!$K682:$AU682,INDEX('04_DATA'!$K682:$AU682,1))=37),"EXCLUDE","ok"))</f>
        <v/>
      </c>
      <c r="G685" s="55">
        <f>IF('04_DATA'!A682="","",IF('04_DATA'!D682&lt;PERCENTILE('04_DATA'!$D$2:$D$1001,0.05),"FLAG","ok"))</f>
        <v/>
      </c>
      <c r="H685" s="55">
        <f>IF('04_DATA'!A682="","",IF(OR(C685="EXCLUDE",F685="EXCLUDE"),"Exclude under pre-specified rule",IF(E685&gt;0.15,"Exclude: &gt;15% missing",IF(G685="FLAG","Retain; test in robustness battery","Retain"))))</f>
        <v/>
      </c>
    </row>
    <row r="686">
      <c r="A686" s="55" t="n">
        <v>683</v>
      </c>
      <c r="B686" s="55">
        <f>IF('04_DATA'!A683="","",'04_DATA'!A683)</f>
        <v/>
      </c>
      <c r="C686" s="55">
        <f>IF('04_DATA'!A683="","",IF(AND('04_DATA'!G683=1,'04_DATA'!H683=1,'04_DATA'!I683&gt;=3),"eligible","EXCLUDE"))</f>
        <v/>
      </c>
      <c r="D686" s="55">
        <f>IF('04_DATA'!A683="","",37-COUNT('04_DATA'!$K683:$AU683))</f>
        <v/>
      </c>
      <c r="E686" s="63">
        <f>IF('04_DATA'!A683="","",(37-COUNT('04_DATA'!$K683:$AU683))/37)</f>
        <v/>
      </c>
      <c r="F686" s="55">
        <f>IF('04_DATA'!A683="","",IF(AND(COUNT('04_DATA'!$K683:$AU683)=37,COUNTIF('04_DATA'!$K683:$AU683,INDEX('04_DATA'!$K683:$AU683,1))=37),"EXCLUDE","ok"))</f>
        <v/>
      </c>
      <c r="G686" s="55">
        <f>IF('04_DATA'!A683="","",IF('04_DATA'!D683&lt;PERCENTILE('04_DATA'!$D$2:$D$1001,0.05),"FLAG","ok"))</f>
        <v/>
      </c>
      <c r="H686" s="55">
        <f>IF('04_DATA'!A683="","",IF(OR(C686="EXCLUDE",F686="EXCLUDE"),"Exclude under pre-specified rule",IF(E686&gt;0.15,"Exclude: &gt;15% missing",IF(G686="FLAG","Retain; test in robustness battery","Retain"))))</f>
        <v/>
      </c>
    </row>
    <row r="687">
      <c r="A687" s="55" t="n">
        <v>684</v>
      </c>
      <c r="B687" s="55">
        <f>IF('04_DATA'!A684="","",'04_DATA'!A684)</f>
        <v/>
      </c>
      <c r="C687" s="55">
        <f>IF('04_DATA'!A684="","",IF(AND('04_DATA'!G684=1,'04_DATA'!H684=1,'04_DATA'!I684&gt;=3),"eligible","EXCLUDE"))</f>
        <v/>
      </c>
      <c r="D687" s="55">
        <f>IF('04_DATA'!A684="","",37-COUNT('04_DATA'!$K684:$AU684))</f>
        <v/>
      </c>
      <c r="E687" s="63">
        <f>IF('04_DATA'!A684="","",(37-COUNT('04_DATA'!$K684:$AU684))/37)</f>
        <v/>
      </c>
      <c r="F687" s="55">
        <f>IF('04_DATA'!A684="","",IF(AND(COUNT('04_DATA'!$K684:$AU684)=37,COUNTIF('04_DATA'!$K684:$AU684,INDEX('04_DATA'!$K684:$AU684,1))=37),"EXCLUDE","ok"))</f>
        <v/>
      </c>
      <c r="G687" s="55">
        <f>IF('04_DATA'!A684="","",IF('04_DATA'!D684&lt;PERCENTILE('04_DATA'!$D$2:$D$1001,0.05),"FLAG","ok"))</f>
        <v/>
      </c>
      <c r="H687" s="55">
        <f>IF('04_DATA'!A684="","",IF(OR(C687="EXCLUDE",F687="EXCLUDE"),"Exclude under pre-specified rule",IF(E687&gt;0.15,"Exclude: &gt;15% missing",IF(G687="FLAG","Retain; test in robustness battery","Retain"))))</f>
        <v/>
      </c>
    </row>
    <row r="688">
      <c r="A688" s="55" t="n">
        <v>685</v>
      </c>
      <c r="B688" s="55">
        <f>IF('04_DATA'!A685="","",'04_DATA'!A685)</f>
        <v/>
      </c>
      <c r="C688" s="55">
        <f>IF('04_DATA'!A685="","",IF(AND('04_DATA'!G685=1,'04_DATA'!H685=1,'04_DATA'!I685&gt;=3),"eligible","EXCLUDE"))</f>
        <v/>
      </c>
      <c r="D688" s="55">
        <f>IF('04_DATA'!A685="","",37-COUNT('04_DATA'!$K685:$AU685))</f>
        <v/>
      </c>
      <c r="E688" s="63">
        <f>IF('04_DATA'!A685="","",(37-COUNT('04_DATA'!$K685:$AU685))/37)</f>
        <v/>
      </c>
      <c r="F688" s="55">
        <f>IF('04_DATA'!A685="","",IF(AND(COUNT('04_DATA'!$K685:$AU685)=37,COUNTIF('04_DATA'!$K685:$AU685,INDEX('04_DATA'!$K685:$AU685,1))=37),"EXCLUDE","ok"))</f>
        <v/>
      </c>
      <c r="G688" s="55">
        <f>IF('04_DATA'!A685="","",IF('04_DATA'!D685&lt;PERCENTILE('04_DATA'!$D$2:$D$1001,0.05),"FLAG","ok"))</f>
        <v/>
      </c>
      <c r="H688" s="55">
        <f>IF('04_DATA'!A685="","",IF(OR(C688="EXCLUDE",F688="EXCLUDE"),"Exclude under pre-specified rule",IF(E688&gt;0.15,"Exclude: &gt;15% missing",IF(G688="FLAG","Retain; test in robustness battery","Retain"))))</f>
        <v/>
      </c>
    </row>
    <row r="689">
      <c r="A689" s="55" t="n">
        <v>686</v>
      </c>
      <c r="B689" s="55">
        <f>IF('04_DATA'!A686="","",'04_DATA'!A686)</f>
        <v/>
      </c>
      <c r="C689" s="55">
        <f>IF('04_DATA'!A686="","",IF(AND('04_DATA'!G686=1,'04_DATA'!H686=1,'04_DATA'!I686&gt;=3),"eligible","EXCLUDE"))</f>
        <v/>
      </c>
      <c r="D689" s="55">
        <f>IF('04_DATA'!A686="","",37-COUNT('04_DATA'!$K686:$AU686))</f>
        <v/>
      </c>
      <c r="E689" s="63">
        <f>IF('04_DATA'!A686="","",(37-COUNT('04_DATA'!$K686:$AU686))/37)</f>
        <v/>
      </c>
      <c r="F689" s="55">
        <f>IF('04_DATA'!A686="","",IF(AND(COUNT('04_DATA'!$K686:$AU686)=37,COUNTIF('04_DATA'!$K686:$AU686,INDEX('04_DATA'!$K686:$AU686,1))=37),"EXCLUDE","ok"))</f>
        <v/>
      </c>
      <c r="G689" s="55">
        <f>IF('04_DATA'!A686="","",IF('04_DATA'!D686&lt;PERCENTILE('04_DATA'!$D$2:$D$1001,0.05),"FLAG","ok"))</f>
        <v/>
      </c>
      <c r="H689" s="55">
        <f>IF('04_DATA'!A686="","",IF(OR(C689="EXCLUDE",F689="EXCLUDE"),"Exclude under pre-specified rule",IF(E689&gt;0.15,"Exclude: &gt;15% missing",IF(G689="FLAG","Retain; test in robustness battery","Retain"))))</f>
        <v/>
      </c>
    </row>
    <row r="690">
      <c r="A690" s="55" t="n">
        <v>687</v>
      </c>
      <c r="B690" s="55">
        <f>IF('04_DATA'!A687="","",'04_DATA'!A687)</f>
        <v/>
      </c>
      <c r="C690" s="55">
        <f>IF('04_DATA'!A687="","",IF(AND('04_DATA'!G687=1,'04_DATA'!H687=1,'04_DATA'!I687&gt;=3),"eligible","EXCLUDE"))</f>
        <v/>
      </c>
      <c r="D690" s="55">
        <f>IF('04_DATA'!A687="","",37-COUNT('04_DATA'!$K687:$AU687))</f>
        <v/>
      </c>
      <c r="E690" s="63">
        <f>IF('04_DATA'!A687="","",(37-COUNT('04_DATA'!$K687:$AU687))/37)</f>
        <v/>
      </c>
      <c r="F690" s="55">
        <f>IF('04_DATA'!A687="","",IF(AND(COUNT('04_DATA'!$K687:$AU687)=37,COUNTIF('04_DATA'!$K687:$AU687,INDEX('04_DATA'!$K687:$AU687,1))=37),"EXCLUDE","ok"))</f>
        <v/>
      </c>
      <c r="G690" s="55">
        <f>IF('04_DATA'!A687="","",IF('04_DATA'!D687&lt;PERCENTILE('04_DATA'!$D$2:$D$1001,0.05),"FLAG","ok"))</f>
        <v/>
      </c>
      <c r="H690" s="55">
        <f>IF('04_DATA'!A687="","",IF(OR(C690="EXCLUDE",F690="EXCLUDE"),"Exclude under pre-specified rule",IF(E690&gt;0.15,"Exclude: &gt;15% missing",IF(G690="FLAG","Retain; test in robustness battery","Retain"))))</f>
        <v/>
      </c>
    </row>
    <row r="691">
      <c r="A691" s="55" t="n">
        <v>688</v>
      </c>
      <c r="B691" s="55">
        <f>IF('04_DATA'!A688="","",'04_DATA'!A688)</f>
        <v/>
      </c>
      <c r="C691" s="55">
        <f>IF('04_DATA'!A688="","",IF(AND('04_DATA'!G688=1,'04_DATA'!H688=1,'04_DATA'!I688&gt;=3),"eligible","EXCLUDE"))</f>
        <v/>
      </c>
      <c r="D691" s="55">
        <f>IF('04_DATA'!A688="","",37-COUNT('04_DATA'!$K688:$AU688))</f>
        <v/>
      </c>
      <c r="E691" s="63">
        <f>IF('04_DATA'!A688="","",(37-COUNT('04_DATA'!$K688:$AU688))/37)</f>
        <v/>
      </c>
      <c r="F691" s="55">
        <f>IF('04_DATA'!A688="","",IF(AND(COUNT('04_DATA'!$K688:$AU688)=37,COUNTIF('04_DATA'!$K688:$AU688,INDEX('04_DATA'!$K688:$AU688,1))=37),"EXCLUDE","ok"))</f>
        <v/>
      </c>
      <c r="G691" s="55">
        <f>IF('04_DATA'!A688="","",IF('04_DATA'!D688&lt;PERCENTILE('04_DATA'!$D$2:$D$1001,0.05),"FLAG","ok"))</f>
        <v/>
      </c>
      <c r="H691" s="55">
        <f>IF('04_DATA'!A688="","",IF(OR(C691="EXCLUDE",F691="EXCLUDE"),"Exclude under pre-specified rule",IF(E691&gt;0.15,"Exclude: &gt;15% missing",IF(G691="FLAG","Retain; test in robustness battery","Retain"))))</f>
        <v/>
      </c>
    </row>
    <row r="692">
      <c r="A692" s="55" t="n">
        <v>689</v>
      </c>
      <c r="B692" s="55">
        <f>IF('04_DATA'!A689="","",'04_DATA'!A689)</f>
        <v/>
      </c>
      <c r="C692" s="55">
        <f>IF('04_DATA'!A689="","",IF(AND('04_DATA'!G689=1,'04_DATA'!H689=1,'04_DATA'!I689&gt;=3),"eligible","EXCLUDE"))</f>
        <v/>
      </c>
      <c r="D692" s="55">
        <f>IF('04_DATA'!A689="","",37-COUNT('04_DATA'!$K689:$AU689))</f>
        <v/>
      </c>
      <c r="E692" s="63">
        <f>IF('04_DATA'!A689="","",(37-COUNT('04_DATA'!$K689:$AU689))/37)</f>
        <v/>
      </c>
      <c r="F692" s="55">
        <f>IF('04_DATA'!A689="","",IF(AND(COUNT('04_DATA'!$K689:$AU689)=37,COUNTIF('04_DATA'!$K689:$AU689,INDEX('04_DATA'!$K689:$AU689,1))=37),"EXCLUDE","ok"))</f>
        <v/>
      </c>
      <c r="G692" s="55">
        <f>IF('04_DATA'!A689="","",IF('04_DATA'!D689&lt;PERCENTILE('04_DATA'!$D$2:$D$1001,0.05),"FLAG","ok"))</f>
        <v/>
      </c>
      <c r="H692" s="55">
        <f>IF('04_DATA'!A689="","",IF(OR(C692="EXCLUDE",F692="EXCLUDE"),"Exclude under pre-specified rule",IF(E692&gt;0.15,"Exclude: &gt;15% missing",IF(G692="FLAG","Retain; test in robustness battery","Retain"))))</f>
        <v/>
      </c>
    </row>
    <row r="693">
      <c r="A693" s="55" t="n">
        <v>690</v>
      </c>
      <c r="B693" s="55">
        <f>IF('04_DATA'!A690="","",'04_DATA'!A690)</f>
        <v/>
      </c>
      <c r="C693" s="55">
        <f>IF('04_DATA'!A690="","",IF(AND('04_DATA'!G690=1,'04_DATA'!H690=1,'04_DATA'!I690&gt;=3),"eligible","EXCLUDE"))</f>
        <v/>
      </c>
      <c r="D693" s="55">
        <f>IF('04_DATA'!A690="","",37-COUNT('04_DATA'!$K690:$AU690))</f>
        <v/>
      </c>
      <c r="E693" s="63">
        <f>IF('04_DATA'!A690="","",(37-COUNT('04_DATA'!$K690:$AU690))/37)</f>
        <v/>
      </c>
      <c r="F693" s="55">
        <f>IF('04_DATA'!A690="","",IF(AND(COUNT('04_DATA'!$K690:$AU690)=37,COUNTIF('04_DATA'!$K690:$AU690,INDEX('04_DATA'!$K690:$AU690,1))=37),"EXCLUDE","ok"))</f>
        <v/>
      </c>
      <c r="G693" s="55">
        <f>IF('04_DATA'!A690="","",IF('04_DATA'!D690&lt;PERCENTILE('04_DATA'!$D$2:$D$1001,0.05),"FLAG","ok"))</f>
        <v/>
      </c>
      <c r="H693" s="55">
        <f>IF('04_DATA'!A690="","",IF(OR(C693="EXCLUDE",F693="EXCLUDE"),"Exclude under pre-specified rule",IF(E693&gt;0.15,"Exclude: &gt;15% missing",IF(G693="FLAG","Retain; test in robustness battery","Retain"))))</f>
        <v/>
      </c>
    </row>
    <row r="694">
      <c r="A694" s="55" t="n">
        <v>691</v>
      </c>
      <c r="B694" s="55">
        <f>IF('04_DATA'!A691="","",'04_DATA'!A691)</f>
        <v/>
      </c>
      <c r="C694" s="55">
        <f>IF('04_DATA'!A691="","",IF(AND('04_DATA'!G691=1,'04_DATA'!H691=1,'04_DATA'!I691&gt;=3),"eligible","EXCLUDE"))</f>
        <v/>
      </c>
      <c r="D694" s="55">
        <f>IF('04_DATA'!A691="","",37-COUNT('04_DATA'!$K691:$AU691))</f>
        <v/>
      </c>
      <c r="E694" s="63">
        <f>IF('04_DATA'!A691="","",(37-COUNT('04_DATA'!$K691:$AU691))/37)</f>
        <v/>
      </c>
      <c r="F694" s="55">
        <f>IF('04_DATA'!A691="","",IF(AND(COUNT('04_DATA'!$K691:$AU691)=37,COUNTIF('04_DATA'!$K691:$AU691,INDEX('04_DATA'!$K691:$AU691,1))=37),"EXCLUDE","ok"))</f>
        <v/>
      </c>
      <c r="G694" s="55">
        <f>IF('04_DATA'!A691="","",IF('04_DATA'!D691&lt;PERCENTILE('04_DATA'!$D$2:$D$1001,0.05),"FLAG","ok"))</f>
        <v/>
      </c>
      <c r="H694" s="55">
        <f>IF('04_DATA'!A691="","",IF(OR(C694="EXCLUDE",F694="EXCLUDE"),"Exclude under pre-specified rule",IF(E694&gt;0.15,"Exclude: &gt;15% missing",IF(G694="FLAG","Retain; test in robustness battery","Retain"))))</f>
        <v/>
      </c>
    </row>
    <row r="695">
      <c r="A695" s="55" t="n">
        <v>692</v>
      </c>
      <c r="B695" s="55">
        <f>IF('04_DATA'!A692="","",'04_DATA'!A692)</f>
        <v/>
      </c>
      <c r="C695" s="55">
        <f>IF('04_DATA'!A692="","",IF(AND('04_DATA'!G692=1,'04_DATA'!H692=1,'04_DATA'!I692&gt;=3),"eligible","EXCLUDE"))</f>
        <v/>
      </c>
      <c r="D695" s="55">
        <f>IF('04_DATA'!A692="","",37-COUNT('04_DATA'!$K692:$AU692))</f>
        <v/>
      </c>
      <c r="E695" s="63">
        <f>IF('04_DATA'!A692="","",(37-COUNT('04_DATA'!$K692:$AU692))/37)</f>
        <v/>
      </c>
      <c r="F695" s="55">
        <f>IF('04_DATA'!A692="","",IF(AND(COUNT('04_DATA'!$K692:$AU692)=37,COUNTIF('04_DATA'!$K692:$AU692,INDEX('04_DATA'!$K692:$AU692,1))=37),"EXCLUDE","ok"))</f>
        <v/>
      </c>
      <c r="G695" s="55">
        <f>IF('04_DATA'!A692="","",IF('04_DATA'!D692&lt;PERCENTILE('04_DATA'!$D$2:$D$1001,0.05),"FLAG","ok"))</f>
        <v/>
      </c>
      <c r="H695" s="55">
        <f>IF('04_DATA'!A692="","",IF(OR(C695="EXCLUDE",F695="EXCLUDE"),"Exclude under pre-specified rule",IF(E695&gt;0.15,"Exclude: &gt;15% missing",IF(G695="FLAG","Retain; test in robustness battery","Retain"))))</f>
        <v/>
      </c>
    </row>
    <row r="696">
      <c r="A696" s="55" t="n">
        <v>693</v>
      </c>
      <c r="B696" s="55">
        <f>IF('04_DATA'!A693="","",'04_DATA'!A693)</f>
        <v/>
      </c>
      <c r="C696" s="55">
        <f>IF('04_DATA'!A693="","",IF(AND('04_DATA'!G693=1,'04_DATA'!H693=1,'04_DATA'!I693&gt;=3),"eligible","EXCLUDE"))</f>
        <v/>
      </c>
      <c r="D696" s="55">
        <f>IF('04_DATA'!A693="","",37-COUNT('04_DATA'!$K693:$AU693))</f>
        <v/>
      </c>
      <c r="E696" s="63">
        <f>IF('04_DATA'!A693="","",(37-COUNT('04_DATA'!$K693:$AU693))/37)</f>
        <v/>
      </c>
      <c r="F696" s="55">
        <f>IF('04_DATA'!A693="","",IF(AND(COUNT('04_DATA'!$K693:$AU693)=37,COUNTIF('04_DATA'!$K693:$AU693,INDEX('04_DATA'!$K693:$AU693,1))=37),"EXCLUDE","ok"))</f>
        <v/>
      </c>
      <c r="G696" s="55">
        <f>IF('04_DATA'!A693="","",IF('04_DATA'!D693&lt;PERCENTILE('04_DATA'!$D$2:$D$1001,0.05),"FLAG","ok"))</f>
        <v/>
      </c>
      <c r="H696" s="55">
        <f>IF('04_DATA'!A693="","",IF(OR(C696="EXCLUDE",F696="EXCLUDE"),"Exclude under pre-specified rule",IF(E696&gt;0.15,"Exclude: &gt;15% missing",IF(G696="FLAG","Retain; test in robustness battery","Retain"))))</f>
        <v/>
      </c>
    </row>
    <row r="697">
      <c r="A697" s="55" t="n">
        <v>694</v>
      </c>
      <c r="B697" s="55">
        <f>IF('04_DATA'!A694="","",'04_DATA'!A694)</f>
        <v/>
      </c>
      <c r="C697" s="55">
        <f>IF('04_DATA'!A694="","",IF(AND('04_DATA'!G694=1,'04_DATA'!H694=1,'04_DATA'!I694&gt;=3),"eligible","EXCLUDE"))</f>
        <v/>
      </c>
      <c r="D697" s="55">
        <f>IF('04_DATA'!A694="","",37-COUNT('04_DATA'!$K694:$AU694))</f>
        <v/>
      </c>
      <c r="E697" s="63">
        <f>IF('04_DATA'!A694="","",(37-COUNT('04_DATA'!$K694:$AU694))/37)</f>
        <v/>
      </c>
      <c r="F697" s="55">
        <f>IF('04_DATA'!A694="","",IF(AND(COUNT('04_DATA'!$K694:$AU694)=37,COUNTIF('04_DATA'!$K694:$AU694,INDEX('04_DATA'!$K694:$AU694,1))=37),"EXCLUDE","ok"))</f>
        <v/>
      </c>
      <c r="G697" s="55">
        <f>IF('04_DATA'!A694="","",IF('04_DATA'!D694&lt;PERCENTILE('04_DATA'!$D$2:$D$1001,0.05),"FLAG","ok"))</f>
        <v/>
      </c>
      <c r="H697" s="55">
        <f>IF('04_DATA'!A694="","",IF(OR(C697="EXCLUDE",F697="EXCLUDE"),"Exclude under pre-specified rule",IF(E697&gt;0.15,"Exclude: &gt;15% missing",IF(G697="FLAG","Retain; test in robustness battery","Retain"))))</f>
        <v/>
      </c>
    </row>
    <row r="698">
      <c r="A698" s="55" t="n">
        <v>695</v>
      </c>
      <c r="B698" s="55">
        <f>IF('04_DATA'!A695="","",'04_DATA'!A695)</f>
        <v/>
      </c>
      <c r="C698" s="55">
        <f>IF('04_DATA'!A695="","",IF(AND('04_DATA'!G695=1,'04_DATA'!H695=1,'04_DATA'!I695&gt;=3),"eligible","EXCLUDE"))</f>
        <v/>
      </c>
      <c r="D698" s="55">
        <f>IF('04_DATA'!A695="","",37-COUNT('04_DATA'!$K695:$AU695))</f>
        <v/>
      </c>
      <c r="E698" s="63">
        <f>IF('04_DATA'!A695="","",(37-COUNT('04_DATA'!$K695:$AU695))/37)</f>
        <v/>
      </c>
      <c r="F698" s="55">
        <f>IF('04_DATA'!A695="","",IF(AND(COUNT('04_DATA'!$K695:$AU695)=37,COUNTIF('04_DATA'!$K695:$AU695,INDEX('04_DATA'!$K695:$AU695,1))=37),"EXCLUDE","ok"))</f>
        <v/>
      </c>
      <c r="G698" s="55">
        <f>IF('04_DATA'!A695="","",IF('04_DATA'!D695&lt;PERCENTILE('04_DATA'!$D$2:$D$1001,0.05),"FLAG","ok"))</f>
        <v/>
      </c>
      <c r="H698" s="55">
        <f>IF('04_DATA'!A695="","",IF(OR(C698="EXCLUDE",F698="EXCLUDE"),"Exclude under pre-specified rule",IF(E698&gt;0.15,"Exclude: &gt;15% missing",IF(G698="FLAG","Retain; test in robustness battery","Retain"))))</f>
        <v/>
      </c>
    </row>
    <row r="699">
      <c r="A699" s="55" t="n">
        <v>696</v>
      </c>
      <c r="B699" s="55">
        <f>IF('04_DATA'!A696="","",'04_DATA'!A696)</f>
        <v/>
      </c>
      <c r="C699" s="55">
        <f>IF('04_DATA'!A696="","",IF(AND('04_DATA'!G696=1,'04_DATA'!H696=1,'04_DATA'!I696&gt;=3),"eligible","EXCLUDE"))</f>
        <v/>
      </c>
      <c r="D699" s="55">
        <f>IF('04_DATA'!A696="","",37-COUNT('04_DATA'!$K696:$AU696))</f>
        <v/>
      </c>
      <c r="E699" s="63">
        <f>IF('04_DATA'!A696="","",(37-COUNT('04_DATA'!$K696:$AU696))/37)</f>
        <v/>
      </c>
      <c r="F699" s="55">
        <f>IF('04_DATA'!A696="","",IF(AND(COUNT('04_DATA'!$K696:$AU696)=37,COUNTIF('04_DATA'!$K696:$AU696,INDEX('04_DATA'!$K696:$AU696,1))=37),"EXCLUDE","ok"))</f>
        <v/>
      </c>
      <c r="G699" s="55">
        <f>IF('04_DATA'!A696="","",IF('04_DATA'!D696&lt;PERCENTILE('04_DATA'!$D$2:$D$1001,0.05),"FLAG","ok"))</f>
        <v/>
      </c>
      <c r="H699" s="55">
        <f>IF('04_DATA'!A696="","",IF(OR(C699="EXCLUDE",F699="EXCLUDE"),"Exclude under pre-specified rule",IF(E699&gt;0.15,"Exclude: &gt;15% missing",IF(G699="FLAG","Retain; test in robustness battery","Retain"))))</f>
        <v/>
      </c>
    </row>
    <row r="700">
      <c r="A700" s="55" t="n">
        <v>697</v>
      </c>
      <c r="B700" s="55">
        <f>IF('04_DATA'!A697="","",'04_DATA'!A697)</f>
        <v/>
      </c>
      <c r="C700" s="55">
        <f>IF('04_DATA'!A697="","",IF(AND('04_DATA'!G697=1,'04_DATA'!H697=1,'04_DATA'!I697&gt;=3),"eligible","EXCLUDE"))</f>
        <v/>
      </c>
      <c r="D700" s="55">
        <f>IF('04_DATA'!A697="","",37-COUNT('04_DATA'!$K697:$AU697))</f>
        <v/>
      </c>
      <c r="E700" s="63">
        <f>IF('04_DATA'!A697="","",(37-COUNT('04_DATA'!$K697:$AU697))/37)</f>
        <v/>
      </c>
      <c r="F700" s="55">
        <f>IF('04_DATA'!A697="","",IF(AND(COUNT('04_DATA'!$K697:$AU697)=37,COUNTIF('04_DATA'!$K697:$AU697,INDEX('04_DATA'!$K697:$AU697,1))=37),"EXCLUDE","ok"))</f>
        <v/>
      </c>
      <c r="G700" s="55">
        <f>IF('04_DATA'!A697="","",IF('04_DATA'!D697&lt;PERCENTILE('04_DATA'!$D$2:$D$1001,0.05),"FLAG","ok"))</f>
        <v/>
      </c>
      <c r="H700" s="55">
        <f>IF('04_DATA'!A697="","",IF(OR(C700="EXCLUDE",F700="EXCLUDE"),"Exclude under pre-specified rule",IF(E700&gt;0.15,"Exclude: &gt;15% missing",IF(G700="FLAG","Retain; test in robustness battery","Retain"))))</f>
        <v/>
      </c>
    </row>
    <row r="701">
      <c r="A701" s="55" t="n">
        <v>698</v>
      </c>
      <c r="B701" s="55">
        <f>IF('04_DATA'!A698="","",'04_DATA'!A698)</f>
        <v/>
      </c>
      <c r="C701" s="55">
        <f>IF('04_DATA'!A698="","",IF(AND('04_DATA'!G698=1,'04_DATA'!H698=1,'04_DATA'!I698&gt;=3),"eligible","EXCLUDE"))</f>
        <v/>
      </c>
      <c r="D701" s="55">
        <f>IF('04_DATA'!A698="","",37-COUNT('04_DATA'!$K698:$AU698))</f>
        <v/>
      </c>
      <c r="E701" s="63">
        <f>IF('04_DATA'!A698="","",(37-COUNT('04_DATA'!$K698:$AU698))/37)</f>
        <v/>
      </c>
      <c r="F701" s="55">
        <f>IF('04_DATA'!A698="","",IF(AND(COUNT('04_DATA'!$K698:$AU698)=37,COUNTIF('04_DATA'!$K698:$AU698,INDEX('04_DATA'!$K698:$AU698,1))=37),"EXCLUDE","ok"))</f>
        <v/>
      </c>
      <c r="G701" s="55">
        <f>IF('04_DATA'!A698="","",IF('04_DATA'!D698&lt;PERCENTILE('04_DATA'!$D$2:$D$1001,0.05),"FLAG","ok"))</f>
        <v/>
      </c>
      <c r="H701" s="55">
        <f>IF('04_DATA'!A698="","",IF(OR(C701="EXCLUDE",F701="EXCLUDE"),"Exclude under pre-specified rule",IF(E701&gt;0.15,"Exclude: &gt;15% missing",IF(G701="FLAG","Retain; test in robustness battery","Retain"))))</f>
        <v/>
      </c>
    </row>
    <row r="702">
      <c r="A702" s="55" t="n">
        <v>699</v>
      </c>
      <c r="B702" s="55">
        <f>IF('04_DATA'!A699="","",'04_DATA'!A699)</f>
        <v/>
      </c>
      <c r="C702" s="55">
        <f>IF('04_DATA'!A699="","",IF(AND('04_DATA'!G699=1,'04_DATA'!H699=1,'04_DATA'!I699&gt;=3),"eligible","EXCLUDE"))</f>
        <v/>
      </c>
      <c r="D702" s="55">
        <f>IF('04_DATA'!A699="","",37-COUNT('04_DATA'!$K699:$AU699))</f>
        <v/>
      </c>
      <c r="E702" s="63">
        <f>IF('04_DATA'!A699="","",(37-COUNT('04_DATA'!$K699:$AU699))/37)</f>
        <v/>
      </c>
      <c r="F702" s="55">
        <f>IF('04_DATA'!A699="","",IF(AND(COUNT('04_DATA'!$K699:$AU699)=37,COUNTIF('04_DATA'!$K699:$AU699,INDEX('04_DATA'!$K699:$AU699,1))=37),"EXCLUDE","ok"))</f>
        <v/>
      </c>
      <c r="G702" s="55">
        <f>IF('04_DATA'!A699="","",IF('04_DATA'!D699&lt;PERCENTILE('04_DATA'!$D$2:$D$1001,0.05),"FLAG","ok"))</f>
        <v/>
      </c>
      <c r="H702" s="55">
        <f>IF('04_DATA'!A699="","",IF(OR(C702="EXCLUDE",F702="EXCLUDE"),"Exclude under pre-specified rule",IF(E702&gt;0.15,"Exclude: &gt;15% missing",IF(G702="FLAG","Retain; test in robustness battery","Retain"))))</f>
        <v/>
      </c>
    </row>
    <row r="703">
      <c r="A703" s="55" t="n">
        <v>700</v>
      </c>
      <c r="B703" s="55">
        <f>IF('04_DATA'!A700="","",'04_DATA'!A700)</f>
        <v/>
      </c>
      <c r="C703" s="55">
        <f>IF('04_DATA'!A700="","",IF(AND('04_DATA'!G700=1,'04_DATA'!H700=1,'04_DATA'!I700&gt;=3),"eligible","EXCLUDE"))</f>
        <v/>
      </c>
      <c r="D703" s="55">
        <f>IF('04_DATA'!A700="","",37-COUNT('04_DATA'!$K700:$AU700))</f>
        <v/>
      </c>
      <c r="E703" s="63">
        <f>IF('04_DATA'!A700="","",(37-COUNT('04_DATA'!$K700:$AU700))/37)</f>
        <v/>
      </c>
      <c r="F703" s="55">
        <f>IF('04_DATA'!A700="","",IF(AND(COUNT('04_DATA'!$K700:$AU700)=37,COUNTIF('04_DATA'!$K700:$AU700,INDEX('04_DATA'!$K700:$AU700,1))=37),"EXCLUDE","ok"))</f>
        <v/>
      </c>
      <c r="G703" s="55">
        <f>IF('04_DATA'!A700="","",IF('04_DATA'!D700&lt;PERCENTILE('04_DATA'!$D$2:$D$1001,0.05),"FLAG","ok"))</f>
        <v/>
      </c>
      <c r="H703" s="55">
        <f>IF('04_DATA'!A700="","",IF(OR(C703="EXCLUDE",F703="EXCLUDE"),"Exclude under pre-specified rule",IF(E703&gt;0.15,"Exclude: &gt;15% missing",IF(G703="FLAG","Retain; test in robustness battery","Retain"))))</f>
        <v/>
      </c>
    </row>
    <row r="704">
      <c r="A704" s="55" t="n">
        <v>701</v>
      </c>
      <c r="B704" s="55">
        <f>IF('04_DATA'!A701="","",'04_DATA'!A701)</f>
        <v/>
      </c>
      <c r="C704" s="55">
        <f>IF('04_DATA'!A701="","",IF(AND('04_DATA'!G701=1,'04_DATA'!H701=1,'04_DATA'!I701&gt;=3),"eligible","EXCLUDE"))</f>
        <v/>
      </c>
      <c r="D704" s="55">
        <f>IF('04_DATA'!A701="","",37-COUNT('04_DATA'!$K701:$AU701))</f>
        <v/>
      </c>
      <c r="E704" s="63">
        <f>IF('04_DATA'!A701="","",(37-COUNT('04_DATA'!$K701:$AU701))/37)</f>
        <v/>
      </c>
      <c r="F704" s="55">
        <f>IF('04_DATA'!A701="","",IF(AND(COUNT('04_DATA'!$K701:$AU701)=37,COUNTIF('04_DATA'!$K701:$AU701,INDEX('04_DATA'!$K701:$AU701,1))=37),"EXCLUDE","ok"))</f>
        <v/>
      </c>
      <c r="G704" s="55">
        <f>IF('04_DATA'!A701="","",IF('04_DATA'!D701&lt;PERCENTILE('04_DATA'!$D$2:$D$1001,0.05),"FLAG","ok"))</f>
        <v/>
      </c>
      <c r="H704" s="55">
        <f>IF('04_DATA'!A701="","",IF(OR(C704="EXCLUDE",F704="EXCLUDE"),"Exclude under pre-specified rule",IF(E704&gt;0.15,"Exclude: &gt;15% missing",IF(G704="FLAG","Retain; test in robustness battery","Retain"))))</f>
        <v/>
      </c>
    </row>
    <row r="705">
      <c r="A705" s="55" t="n">
        <v>702</v>
      </c>
      <c r="B705" s="55">
        <f>IF('04_DATA'!A702="","",'04_DATA'!A702)</f>
        <v/>
      </c>
      <c r="C705" s="55">
        <f>IF('04_DATA'!A702="","",IF(AND('04_DATA'!G702=1,'04_DATA'!H702=1,'04_DATA'!I702&gt;=3),"eligible","EXCLUDE"))</f>
        <v/>
      </c>
      <c r="D705" s="55">
        <f>IF('04_DATA'!A702="","",37-COUNT('04_DATA'!$K702:$AU702))</f>
        <v/>
      </c>
      <c r="E705" s="63">
        <f>IF('04_DATA'!A702="","",(37-COUNT('04_DATA'!$K702:$AU702))/37)</f>
        <v/>
      </c>
      <c r="F705" s="55">
        <f>IF('04_DATA'!A702="","",IF(AND(COUNT('04_DATA'!$K702:$AU702)=37,COUNTIF('04_DATA'!$K702:$AU702,INDEX('04_DATA'!$K702:$AU702,1))=37),"EXCLUDE","ok"))</f>
        <v/>
      </c>
      <c r="G705" s="55">
        <f>IF('04_DATA'!A702="","",IF('04_DATA'!D702&lt;PERCENTILE('04_DATA'!$D$2:$D$1001,0.05),"FLAG","ok"))</f>
        <v/>
      </c>
      <c r="H705" s="55">
        <f>IF('04_DATA'!A702="","",IF(OR(C705="EXCLUDE",F705="EXCLUDE"),"Exclude under pre-specified rule",IF(E705&gt;0.15,"Exclude: &gt;15% missing",IF(G705="FLAG","Retain; test in robustness battery","Retain"))))</f>
        <v/>
      </c>
    </row>
    <row r="706">
      <c r="A706" s="55" t="n">
        <v>703</v>
      </c>
      <c r="B706" s="55">
        <f>IF('04_DATA'!A703="","",'04_DATA'!A703)</f>
        <v/>
      </c>
      <c r="C706" s="55">
        <f>IF('04_DATA'!A703="","",IF(AND('04_DATA'!G703=1,'04_DATA'!H703=1,'04_DATA'!I703&gt;=3),"eligible","EXCLUDE"))</f>
        <v/>
      </c>
      <c r="D706" s="55">
        <f>IF('04_DATA'!A703="","",37-COUNT('04_DATA'!$K703:$AU703))</f>
        <v/>
      </c>
      <c r="E706" s="63">
        <f>IF('04_DATA'!A703="","",(37-COUNT('04_DATA'!$K703:$AU703))/37)</f>
        <v/>
      </c>
      <c r="F706" s="55">
        <f>IF('04_DATA'!A703="","",IF(AND(COUNT('04_DATA'!$K703:$AU703)=37,COUNTIF('04_DATA'!$K703:$AU703,INDEX('04_DATA'!$K703:$AU703,1))=37),"EXCLUDE","ok"))</f>
        <v/>
      </c>
      <c r="G706" s="55">
        <f>IF('04_DATA'!A703="","",IF('04_DATA'!D703&lt;PERCENTILE('04_DATA'!$D$2:$D$1001,0.05),"FLAG","ok"))</f>
        <v/>
      </c>
      <c r="H706" s="55">
        <f>IF('04_DATA'!A703="","",IF(OR(C706="EXCLUDE",F706="EXCLUDE"),"Exclude under pre-specified rule",IF(E706&gt;0.15,"Exclude: &gt;15% missing",IF(G706="FLAG","Retain; test in robustness battery","Retain"))))</f>
        <v/>
      </c>
    </row>
    <row r="707">
      <c r="A707" s="55" t="n">
        <v>704</v>
      </c>
      <c r="B707" s="55">
        <f>IF('04_DATA'!A704="","",'04_DATA'!A704)</f>
        <v/>
      </c>
      <c r="C707" s="55">
        <f>IF('04_DATA'!A704="","",IF(AND('04_DATA'!G704=1,'04_DATA'!H704=1,'04_DATA'!I704&gt;=3),"eligible","EXCLUDE"))</f>
        <v/>
      </c>
      <c r="D707" s="55">
        <f>IF('04_DATA'!A704="","",37-COUNT('04_DATA'!$K704:$AU704))</f>
        <v/>
      </c>
      <c r="E707" s="63">
        <f>IF('04_DATA'!A704="","",(37-COUNT('04_DATA'!$K704:$AU704))/37)</f>
        <v/>
      </c>
      <c r="F707" s="55">
        <f>IF('04_DATA'!A704="","",IF(AND(COUNT('04_DATA'!$K704:$AU704)=37,COUNTIF('04_DATA'!$K704:$AU704,INDEX('04_DATA'!$K704:$AU704,1))=37),"EXCLUDE","ok"))</f>
        <v/>
      </c>
      <c r="G707" s="55">
        <f>IF('04_DATA'!A704="","",IF('04_DATA'!D704&lt;PERCENTILE('04_DATA'!$D$2:$D$1001,0.05),"FLAG","ok"))</f>
        <v/>
      </c>
      <c r="H707" s="55">
        <f>IF('04_DATA'!A704="","",IF(OR(C707="EXCLUDE",F707="EXCLUDE"),"Exclude under pre-specified rule",IF(E707&gt;0.15,"Exclude: &gt;15% missing",IF(G707="FLAG","Retain; test in robustness battery","Retain"))))</f>
        <v/>
      </c>
    </row>
    <row r="708">
      <c r="A708" s="55" t="n">
        <v>705</v>
      </c>
      <c r="B708" s="55">
        <f>IF('04_DATA'!A705="","",'04_DATA'!A705)</f>
        <v/>
      </c>
      <c r="C708" s="55">
        <f>IF('04_DATA'!A705="","",IF(AND('04_DATA'!G705=1,'04_DATA'!H705=1,'04_DATA'!I705&gt;=3),"eligible","EXCLUDE"))</f>
        <v/>
      </c>
      <c r="D708" s="55">
        <f>IF('04_DATA'!A705="","",37-COUNT('04_DATA'!$K705:$AU705))</f>
        <v/>
      </c>
      <c r="E708" s="63">
        <f>IF('04_DATA'!A705="","",(37-COUNT('04_DATA'!$K705:$AU705))/37)</f>
        <v/>
      </c>
      <c r="F708" s="55">
        <f>IF('04_DATA'!A705="","",IF(AND(COUNT('04_DATA'!$K705:$AU705)=37,COUNTIF('04_DATA'!$K705:$AU705,INDEX('04_DATA'!$K705:$AU705,1))=37),"EXCLUDE","ok"))</f>
        <v/>
      </c>
      <c r="G708" s="55">
        <f>IF('04_DATA'!A705="","",IF('04_DATA'!D705&lt;PERCENTILE('04_DATA'!$D$2:$D$1001,0.05),"FLAG","ok"))</f>
        <v/>
      </c>
      <c r="H708" s="55">
        <f>IF('04_DATA'!A705="","",IF(OR(C708="EXCLUDE",F708="EXCLUDE"),"Exclude under pre-specified rule",IF(E708&gt;0.15,"Exclude: &gt;15% missing",IF(G708="FLAG","Retain; test in robustness battery","Retain"))))</f>
        <v/>
      </c>
    </row>
    <row r="709">
      <c r="A709" s="55" t="n">
        <v>706</v>
      </c>
      <c r="B709" s="55">
        <f>IF('04_DATA'!A706="","",'04_DATA'!A706)</f>
        <v/>
      </c>
      <c r="C709" s="55">
        <f>IF('04_DATA'!A706="","",IF(AND('04_DATA'!G706=1,'04_DATA'!H706=1,'04_DATA'!I706&gt;=3),"eligible","EXCLUDE"))</f>
        <v/>
      </c>
      <c r="D709" s="55">
        <f>IF('04_DATA'!A706="","",37-COUNT('04_DATA'!$K706:$AU706))</f>
        <v/>
      </c>
      <c r="E709" s="63">
        <f>IF('04_DATA'!A706="","",(37-COUNT('04_DATA'!$K706:$AU706))/37)</f>
        <v/>
      </c>
      <c r="F709" s="55">
        <f>IF('04_DATA'!A706="","",IF(AND(COUNT('04_DATA'!$K706:$AU706)=37,COUNTIF('04_DATA'!$K706:$AU706,INDEX('04_DATA'!$K706:$AU706,1))=37),"EXCLUDE","ok"))</f>
        <v/>
      </c>
      <c r="G709" s="55">
        <f>IF('04_DATA'!A706="","",IF('04_DATA'!D706&lt;PERCENTILE('04_DATA'!$D$2:$D$1001,0.05),"FLAG","ok"))</f>
        <v/>
      </c>
      <c r="H709" s="55">
        <f>IF('04_DATA'!A706="","",IF(OR(C709="EXCLUDE",F709="EXCLUDE"),"Exclude under pre-specified rule",IF(E709&gt;0.15,"Exclude: &gt;15% missing",IF(G709="FLAG","Retain; test in robustness battery","Retain"))))</f>
        <v/>
      </c>
    </row>
    <row r="710">
      <c r="A710" s="55" t="n">
        <v>707</v>
      </c>
      <c r="B710" s="55">
        <f>IF('04_DATA'!A707="","",'04_DATA'!A707)</f>
        <v/>
      </c>
      <c r="C710" s="55">
        <f>IF('04_DATA'!A707="","",IF(AND('04_DATA'!G707=1,'04_DATA'!H707=1,'04_DATA'!I707&gt;=3),"eligible","EXCLUDE"))</f>
        <v/>
      </c>
      <c r="D710" s="55">
        <f>IF('04_DATA'!A707="","",37-COUNT('04_DATA'!$K707:$AU707))</f>
        <v/>
      </c>
      <c r="E710" s="63">
        <f>IF('04_DATA'!A707="","",(37-COUNT('04_DATA'!$K707:$AU707))/37)</f>
        <v/>
      </c>
      <c r="F710" s="55">
        <f>IF('04_DATA'!A707="","",IF(AND(COUNT('04_DATA'!$K707:$AU707)=37,COUNTIF('04_DATA'!$K707:$AU707,INDEX('04_DATA'!$K707:$AU707,1))=37),"EXCLUDE","ok"))</f>
        <v/>
      </c>
      <c r="G710" s="55">
        <f>IF('04_DATA'!A707="","",IF('04_DATA'!D707&lt;PERCENTILE('04_DATA'!$D$2:$D$1001,0.05),"FLAG","ok"))</f>
        <v/>
      </c>
      <c r="H710" s="55">
        <f>IF('04_DATA'!A707="","",IF(OR(C710="EXCLUDE",F710="EXCLUDE"),"Exclude under pre-specified rule",IF(E710&gt;0.15,"Exclude: &gt;15% missing",IF(G710="FLAG","Retain; test in robustness battery","Retain"))))</f>
        <v/>
      </c>
    </row>
    <row r="711">
      <c r="A711" s="55" t="n">
        <v>708</v>
      </c>
      <c r="B711" s="55">
        <f>IF('04_DATA'!A708="","",'04_DATA'!A708)</f>
        <v/>
      </c>
      <c r="C711" s="55">
        <f>IF('04_DATA'!A708="","",IF(AND('04_DATA'!G708=1,'04_DATA'!H708=1,'04_DATA'!I708&gt;=3),"eligible","EXCLUDE"))</f>
        <v/>
      </c>
      <c r="D711" s="55">
        <f>IF('04_DATA'!A708="","",37-COUNT('04_DATA'!$K708:$AU708))</f>
        <v/>
      </c>
      <c r="E711" s="63">
        <f>IF('04_DATA'!A708="","",(37-COUNT('04_DATA'!$K708:$AU708))/37)</f>
        <v/>
      </c>
      <c r="F711" s="55">
        <f>IF('04_DATA'!A708="","",IF(AND(COUNT('04_DATA'!$K708:$AU708)=37,COUNTIF('04_DATA'!$K708:$AU708,INDEX('04_DATA'!$K708:$AU708,1))=37),"EXCLUDE","ok"))</f>
        <v/>
      </c>
      <c r="G711" s="55">
        <f>IF('04_DATA'!A708="","",IF('04_DATA'!D708&lt;PERCENTILE('04_DATA'!$D$2:$D$1001,0.05),"FLAG","ok"))</f>
        <v/>
      </c>
      <c r="H711" s="55">
        <f>IF('04_DATA'!A708="","",IF(OR(C711="EXCLUDE",F711="EXCLUDE"),"Exclude under pre-specified rule",IF(E711&gt;0.15,"Exclude: &gt;15% missing",IF(G711="FLAG","Retain; test in robustness battery","Retain"))))</f>
        <v/>
      </c>
    </row>
    <row r="712">
      <c r="A712" s="55" t="n">
        <v>709</v>
      </c>
      <c r="B712" s="55">
        <f>IF('04_DATA'!A709="","",'04_DATA'!A709)</f>
        <v/>
      </c>
      <c r="C712" s="55">
        <f>IF('04_DATA'!A709="","",IF(AND('04_DATA'!G709=1,'04_DATA'!H709=1,'04_DATA'!I709&gt;=3),"eligible","EXCLUDE"))</f>
        <v/>
      </c>
      <c r="D712" s="55">
        <f>IF('04_DATA'!A709="","",37-COUNT('04_DATA'!$K709:$AU709))</f>
        <v/>
      </c>
      <c r="E712" s="63">
        <f>IF('04_DATA'!A709="","",(37-COUNT('04_DATA'!$K709:$AU709))/37)</f>
        <v/>
      </c>
      <c r="F712" s="55">
        <f>IF('04_DATA'!A709="","",IF(AND(COUNT('04_DATA'!$K709:$AU709)=37,COUNTIF('04_DATA'!$K709:$AU709,INDEX('04_DATA'!$K709:$AU709,1))=37),"EXCLUDE","ok"))</f>
        <v/>
      </c>
      <c r="G712" s="55">
        <f>IF('04_DATA'!A709="","",IF('04_DATA'!D709&lt;PERCENTILE('04_DATA'!$D$2:$D$1001,0.05),"FLAG","ok"))</f>
        <v/>
      </c>
      <c r="H712" s="55">
        <f>IF('04_DATA'!A709="","",IF(OR(C712="EXCLUDE",F712="EXCLUDE"),"Exclude under pre-specified rule",IF(E712&gt;0.15,"Exclude: &gt;15% missing",IF(G712="FLAG","Retain; test in robustness battery","Retain"))))</f>
        <v/>
      </c>
    </row>
    <row r="713">
      <c r="A713" s="55" t="n">
        <v>710</v>
      </c>
      <c r="B713" s="55">
        <f>IF('04_DATA'!A710="","",'04_DATA'!A710)</f>
        <v/>
      </c>
      <c r="C713" s="55">
        <f>IF('04_DATA'!A710="","",IF(AND('04_DATA'!G710=1,'04_DATA'!H710=1,'04_DATA'!I710&gt;=3),"eligible","EXCLUDE"))</f>
        <v/>
      </c>
      <c r="D713" s="55">
        <f>IF('04_DATA'!A710="","",37-COUNT('04_DATA'!$K710:$AU710))</f>
        <v/>
      </c>
      <c r="E713" s="63">
        <f>IF('04_DATA'!A710="","",(37-COUNT('04_DATA'!$K710:$AU710))/37)</f>
        <v/>
      </c>
      <c r="F713" s="55">
        <f>IF('04_DATA'!A710="","",IF(AND(COUNT('04_DATA'!$K710:$AU710)=37,COUNTIF('04_DATA'!$K710:$AU710,INDEX('04_DATA'!$K710:$AU710,1))=37),"EXCLUDE","ok"))</f>
        <v/>
      </c>
      <c r="G713" s="55">
        <f>IF('04_DATA'!A710="","",IF('04_DATA'!D710&lt;PERCENTILE('04_DATA'!$D$2:$D$1001,0.05),"FLAG","ok"))</f>
        <v/>
      </c>
      <c r="H713" s="55">
        <f>IF('04_DATA'!A710="","",IF(OR(C713="EXCLUDE",F713="EXCLUDE"),"Exclude under pre-specified rule",IF(E713&gt;0.15,"Exclude: &gt;15% missing",IF(G713="FLAG","Retain; test in robustness battery","Retain"))))</f>
        <v/>
      </c>
    </row>
    <row r="714">
      <c r="A714" s="55" t="n">
        <v>711</v>
      </c>
      <c r="B714" s="55">
        <f>IF('04_DATA'!A711="","",'04_DATA'!A711)</f>
        <v/>
      </c>
      <c r="C714" s="55">
        <f>IF('04_DATA'!A711="","",IF(AND('04_DATA'!G711=1,'04_DATA'!H711=1,'04_DATA'!I711&gt;=3),"eligible","EXCLUDE"))</f>
        <v/>
      </c>
      <c r="D714" s="55">
        <f>IF('04_DATA'!A711="","",37-COUNT('04_DATA'!$K711:$AU711))</f>
        <v/>
      </c>
      <c r="E714" s="63">
        <f>IF('04_DATA'!A711="","",(37-COUNT('04_DATA'!$K711:$AU711))/37)</f>
        <v/>
      </c>
      <c r="F714" s="55">
        <f>IF('04_DATA'!A711="","",IF(AND(COUNT('04_DATA'!$K711:$AU711)=37,COUNTIF('04_DATA'!$K711:$AU711,INDEX('04_DATA'!$K711:$AU711,1))=37),"EXCLUDE","ok"))</f>
        <v/>
      </c>
      <c r="G714" s="55">
        <f>IF('04_DATA'!A711="","",IF('04_DATA'!D711&lt;PERCENTILE('04_DATA'!$D$2:$D$1001,0.05),"FLAG","ok"))</f>
        <v/>
      </c>
      <c r="H714" s="55">
        <f>IF('04_DATA'!A711="","",IF(OR(C714="EXCLUDE",F714="EXCLUDE"),"Exclude under pre-specified rule",IF(E714&gt;0.15,"Exclude: &gt;15% missing",IF(G714="FLAG","Retain; test in robustness battery","Retain"))))</f>
        <v/>
      </c>
    </row>
    <row r="715">
      <c r="A715" s="55" t="n">
        <v>712</v>
      </c>
      <c r="B715" s="55">
        <f>IF('04_DATA'!A712="","",'04_DATA'!A712)</f>
        <v/>
      </c>
      <c r="C715" s="55">
        <f>IF('04_DATA'!A712="","",IF(AND('04_DATA'!G712=1,'04_DATA'!H712=1,'04_DATA'!I712&gt;=3),"eligible","EXCLUDE"))</f>
        <v/>
      </c>
      <c r="D715" s="55">
        <f>IF('04_DATA'!A712="","",37-COUNT('04_DATA'!$K712:$AU712))</f>
        <v/>
      </c>
      <c r="E715" s="63">
        <f>IF('04_DATA'!A712="","",(37-COUNT('04_DATA'!$K712:$AU712))/37)</f>
        <v/>
      </c>
      <c r="F715" s="55">
        <f>IF('04_DATA'!A712="","",IF(AND(COUNT('04_DATA'!$K712:$AU712)=37,COUNTIF('04_DATA'!$K712:$AU712,INDEX('04_DATA'!$K712:$AU712,1))=37),"EXCLUDE","ok"))</f>
        <v/>
      </c>
      <c r="G715" s="55">
        <f>IF('04_DATA'!A712="","",IF('04_DATA'!D712&lt;PERCENTILE('04_DATA'!$D$2:$D$1001,0.05),"FLAG","ok"))</f>
        <v/>
      </c>
      <c r="H715" s="55">
        <f>IF('04_DATA'!A712="","",IF(OR(C715="EXCLUDE",F715="EXCLUDE"),"Exclude under pre-specified rule",IF(E715&gt;0.15,"Exclude: &gt;15% missing",IF(G715="FLAG","Retain; test in robustness battery","Retain"))))</f>
        <v/>
      </c>
    </row>
    <row r="716">
      <c r="A716" s="55" t="n">
        <v>713</v>
      </c>
      <c r="B716" s="55">
        <f>IF('04_DATA'!A713="","",'04_DATA'!A713)</f>
        <v/>
      </c>
      <c r="C716" s="55">
        <f>IF('04_DATA'!A713="","",IF(AND('04_DATA'!G713=1,'04_DATA'!H713=1,'04_DATA'!I713&gt;=3),"eligible","EXCLUDE"))</f>
        <v/>
      </c>
      <c r="D716" s="55">
        <f>IF('04_DATA'!A713="","",37-COUNT('04_DATA'!$K713:$AU713))</f>
        <v/>
      </c>
      <c r="E716" s="63">
        <f>IF('04_DATA'!A713="","",(37-COUNT('04_DATA'!$K713:$AU713))/37)</f>
        <v/>
      </c>
      <c r="F716" s="55">
        <f>IF('04_DATA'!A713="","",IF(AND(COUNT('04_DATA'!$K713:$AU713)=37,COUNTIF('04_DATA'!$K713:$AU713,INDEX('04_DATA'!$K713:$AU713,1))=37),"EXCLUDE","ok"))</f>
        <v/>
      </c>
      <c r="G716" s="55">
        <f>IF('04_DATA'!A713="","",IF('04_DATA'!D713&lt;PERCENTILE('04_DATA'!$D$2:$D$1001,0.05),"FLAG","ok"))</f>
        <v/>
      </c>
      <c r="H716" s="55">
        <f>IF('04_DATA'!A713="","",IF(OR(C716="EXCLUDE",F716="EXCLUDE"),"Exclude under pre-specified rule",IF(E716&gt;0.15,"Exclude: &gt;15% missing",IF(G716="FLAG","Retain; test in robustness battery","Retain"))))</f>
        <v/>
      </c>
    </row>
    <row r="717">
      <c r="A717" s="55" t="n">
        <v>714</v>
      </c>
      <c r="B717" s="55">
        <f>IF('04_DATA'!A714="","",'04_DATA'!A714)</f>
        <v/>
      </c>
      <c r="C717" s="55">
        <f>IF('04_DATA'!A714="","",IF(AND('04_DATA'!G714=1,'04_DATA'!H714=1,'04_DATA'!I714&gt;=3),"eligible","EXCLUDE"))</f>
        <v/>
      </c>
      <c r="D717" s="55">
        <f>IF('04_DATA'!A714="","",37-COUNT('04_DATA'!$K714:$AU714))</f>
        <v/>
      </c>
      <c r="E717" s="63">
        <f>IF('04_DATA'!A714="","",(37-COUNT('04_DATA'!$K714:$AU714))/37)</f>
        <v/>
      </c>
      <c r="F717" s="55">
        <f>IF('04_DATA'!A714="","",IF(AND(COUNT('04_DATA'!$K714:$AU714)=37,COUNTIF('04_DATA'!$K714:$AU714,INDEX('04_DATA'!$K714:$AU714,1))=37),"EXCLUDE","ok"))</f>
        <v/>
      </c>
      <c r="G717" s="55">
        <f>IF('04_DATA'!A714="","",IF('04_DATA'!D714&lt;PERCENTILE('04_DATA'!$D$2:$D$1001,0.05),"FLAG","ok"))</f>
        <v/>
      </c>
      <c r="H717" s="55">
        <f>IF('04_DATA'!A714="","",IF(OR(C717="EXCLUDE",F717="EXCLUDE"),"Exclude under pre-specified rule",IF(E717&gt;0.15,"Exclude: &gt;15% missing",IF(G717="FLAG","Retain; test in robustness battery","Retain"))))</f>
        <v/>
      </c>
    </row>
    <row r="718">
      <c r="A718" s="55" t="n">
        <v>715</v>
      </c>
      <c r="B718" s="55">
        <f>IF('04_DATA'!A715="","",'04_DATA'!A715)</f>
        <v/>
      </c>
      <c r="C718" s="55">
        <f>IF('04_DATA'!A715="","",IF(AND('04_DATA'!G715=1,'04_DATA'!H715=1,'04_DATA'!I715&gt;=3),"eligible","EXCLUDE"))</f>
        <v/>
      </c>
      <c r="D718" s="55">
        <f>IF('04_DATA'!A715="","",37-COUNT('04_DATA'!$K715:$AU715))</f>
        <v/>
      </c>
      <c r="E718" s="63">
        <f>IF('04_DATA'!A715="","",(37-COUNT('04_DATA'!$K715:$AU715))/37)</f>
        <v/>
      </c>
      <c r="F718" s="55">
        <f>IF('04_DATA'!A715="","",IF(AND(COUNT('04_DATA'!$K715:$AU715)=37,COUNTIF('04_DATA'!$K715:$AU715,INDEX('04_DATA'!$K715:$AU715,1))=37),"EXCLUDE","ok"))</f>
        <v/>
      </c>
      <c r="G718" s="55">
        <f>IF('04_DATA'!A715="","",IF('04_DATA'!D715&lt;PERCENTILE('04_DATA'!$D$2:$D$1001,0.05),"FLAG","ok"))</f>
        <v/>
      </c>
      <c r="H718" s="55">
        <f>IF('04_DATA'!A715="","",IF(OR(C718="EXCLUDE",F718="EXCLUDE"),"Exclude under pre-specified rule",IF(E718&gt;0.15,"Exclude: &gt;15% missing",IF(G718="FLAG","Retain; test in robustness battery","Retain"))))</f>
        <v/>
      </c>
    </row>
    <row r="719">
      <c r="A719" s="55" t="n">
        <v>716</v>
      </c>
      <c r="B719" s="55">
        <f>IF('04_DATA'!A716="","",'04_DATA'!A716)</f>
        <v/>
      </c>
      <c r="C719" s="55">
        <f>IF('04_DATA'!A716="","",IF(AND('04_DATA'!G716=1,'04_DATA'!H716=1,'04_DATA'!I716&gt;=3),"eligible","EXCLUDE"))</f>
        <v/>
      </c>
      <c r="D719" s="55">
        <f>IF('04_DATA'!A716="","",37-COUNT('04_DATA'!$K716:$AU716))</f>
        <v/>
      </c>
      <c r="E719" s="63">
        <f>IF('04_DATA'!A716="","",(37-COUNT('04_DATA'!$K716:$AU716))/37)</f>
        <v/>
      </c>
      <c r="F719" s="55">
        <f>IF('04_DATA'!A716="","",IF(AND(COUNT('04_DATA'!$K716:$AU716)=37,COUNTIF('04_DATA'!$K716:$AU716,INDEX('04_DATA'!$K716:$AU716,1))=37),"EXCLUDE","ok"))</f>
        <v/>
      </c>
      <c r="G719" s="55">
        <f>IF('04_DATA'!A716="","",IF('04_DATA'!D716&lt;PERCENTILE('04_DATA'!$D$2:$D$1001,0.05),"FLAG","ok"))</f>
        <v/>
      </c>
      <c r="H719" s="55">
        <f>IF('04_DATA'!A716="","",IF(OR(C719="EXCLUDE",F719="EXCLUDE"),"Exclude under pre-specified rule",IF(E719&gt;0.15,"Exclude: &gt;15% missing",IF(G719="FLAG","Retain; test in robustness battery","Retain"))))</f>
        <v/>
      </c>
    </row>
    <row r="720">
      <c r="A720" s="55" t="n">
        <v>717</v>
      </c>
      <c r="B720" s="55">
        <f>IF('04_DATA'!A717="","",'04_DATA'!A717)</f>
        <v/>
      </c>
      <c r="C720" s="55">
        <f>IF('04_DATA'!A717="","",IF(AND('04_DATA'!G717=1,'04_DATA'!H717=1,'04_DATA'!I717&gt;=3),"eligible","EXCLUDE"))</f>
        <v/>
      </c>
      <c r="D720" s="55">
        <f>IF('04_DATA'!A717="","",37-COUNT('04_DATA'!$K717:$AU717))</f>
        <v/>
      </c>
      <c r="E720" s="63">
        <f>IF('04_DATA'!A717="","",(37-COUNT('04_DATA'!$K717:$AU717))/37)</f>
        <v/>
      </c>
      <c r="F720" s="55">
        <f>IF('04_DATA'!A717="","",IF(AND(COUNT('04_DATA'!$K717:$AU717)=37,COUNTIF('04_DATA'!$K717:$AU717,INDEX('04_DATA'!$K717:$AU717,1))=37),"EXCLUDE","ok"))</f>
        <v/>
      </c>
      <c r="G720" s="55">
        <f>IF('04_DATA'!A717="","",IF('04_DATA'!D717&lt;PERCENTILE('04_DATA'!$D$2:$D$1001,0.05),"FLAG","ok"))</f>
        <v/>
      </c>
      <c r="H720" s="55">
        <f>IF('04_DATA'!A717="","",IF(OR(C720="EXCLUDE",F720="EXCLUDE"),"Exclude under pre-specified rule",IF(E720&gt;0.15,"Exclude: &gt;15% missing",IF(G720="FLAG","Retain; test in robustness battery","Retain"))))</f>
        <v/>
      </c>
    </row>
    <row r="721">
      <c r="A721" s="55" t="n">
        <v>718</v>
      </c>
      <c r="B721" s="55">
        <f>IF('04_DATA'!A718="","",'04_DATA'!A718)</f>
        <v/>
      </c>
      <c r="C721" s="55">
        <f>IF('04_DATA'!A718="","",IF(AND('04_DATA'!G718=1,'04_DATA'!H718=1,'04_DATA'!I718&gt;=3),"eligible","EXCLUDE"))</f>
        <v/>
      </c>
      <c r="D721" s="55">
        <f>IF('04_DATA'!A718="","",37-COUNT('04_DATA'!$K718:$AU718))</f>
        <v/>
      </c>
      <c r="E721" s="63">
        <f>IF('04_DATA'!A718="","",(37-COUNT('04_DATA'!$K718:$AU718))/37)</f>
        <v/>
      </c>
      <c r="F721" s="55">
        <f>IF('04_DATA'!A718="","",IF(AND(COUNT('04_DATA'!$K718:$AU718)=37,COUNTIF('04_DATA'!$K718:$AU718,INDEX('04_DATA'!$K718:$AU718,1))=37),"EXCLUDE","ok"))</f>
        <v/>
      </c>
      <c r="G721" s="55">
        <f>IF('04_DATA'!A718="","",IF('04_DATA'!D718&lt;PERCENTILE('04_DATA'!$D$2:$D$1001,0.05),"FLAG","ok"))</f>
        <v/>
      </c>
      <c r="H721" s="55">
        <f>IF('04_DATA'!A718="","",IF(OR(C721="EXCLUDE",F721="EXCLUDE"),"Exclude under pre-specified rule",IF(E721&gt;0.15,"Exclude: &gt;15% missing",IF(G721="FLAG","Retain; test in robustness battery","Retain"))))</f>
        <v/>
      </c>
    </row>
    <row r="722">
      <c r="A722" s="55" t="n">
        <v>719</v>
      </c>
      <c r="B722" s="55">
        <f>IF('04_DATA'!A719="","",'04_DATA'!A719)</f>
        <v/>
      </c>
      <c r="C722" s="55">
        <f>IF('04_DATA'!A719="","",IF(AND('04_DATA'!G719=1,'04_DATA'!H719=1,'04_DATA'!I719&gt;=3),"eligible","EXCLUDE"))</f>
        <v/>
      </c>
      <c r="D722" s="55">
        <f>IF('04_DATA'!A719="","",37-COUNT('04_DATA'!$K719:$AU719))</f>
        <v/>
      </c>
      <c r="E722" s="63">
        <f>IF('04_DATA'!A719="","",(37-COUNT('04_DATA'!$K719:$AU719))/37)</f>
        <v/>
      </c>
      <c r="F722" s="55">
        <f>IF('04_DATA'!A719="","",IF(AND(COUNT('04_DATA'!$K719:$AU719)=37,COUNTIF('04_DATA'!$K719:$AU719,INDEX('04_DATA'!$K719:$AU719,1))=37),"EXCLUDE","ok"))</f>
        <v/>
      </c>
      <c r="G722" s="55">
        <f>IF('04_DATA'!A719="","",IF('04_DATA'!D719&lt;PERCENTILE('04_DATA'!$D$2:$D$1001,0.05),"FLAG","ok"))</f>
        <v/>
      </c>
      <c r="H722" s="55">
        <f>IF('04_DATA'!A719="","",IF(OR(C722="EXCLUDE",F722="EXCLUDE"),"Exclude under pre-specified rule",IF(E722&gt;0.15,"Exclude: &gt;15% missing",IF(G722="FLAG","Retain; test in robustness battery","Retain"))))</f>
        <v/>
      </c>
    </row>
    <row r="723">
      <c r="A723" s="55" t="n">
        <v>720</v>
      </c>
      <c r="B723" s="55">
        <f>IF('04_DATA'!A720="","",'04_DATA'!A720)</f>
        <v/>
      </c>
      <c r="C723" s="55">
        <f>IF('04_DATA'!A720="","",IF(AND('04_DATA'!G720=1,'04_DATA'!H720=1,'04_DATA'!I720&gt;=3),"eligible","EXCLUDE"))</f>
        <v/>
      </c>
      <c r="D723" s="55">
        <f>IF('04_DATA'!A720="","",37-COUNT('04_DATA'!$K720:$AU720))</f>
        <v/>
      </c>
      <c r="E723" s="63">
        <f>IF('04_DATA'!A720="","",(37-COUNT('04_DATA'!$K720:$AU720))/37)</f>
        <v/>
      </c>
      <c r="F723" s="55">
        <f>IF('04_DATA'!A720="","",IF(AND(COUNT('04_DATA'!$K720:$AU720)=37,COUNTIF('04_DATA'!$K720:$AU720,INDEX('04_DATA'!$K720:$AU720,1))=37),"EXCLUDE","ok"))</f>
        <v/>
      </c>
      <c r="G723" s="55">
        <f>IF('04_DATA'!A720="","",IF('04_DATA'!D720&lt;PERCENTILE('04_DATA'!$D$2:$D$1001,0.05),"FLAG","ok"))</f>
        <v/>
      </c>
      <c r="H723" s="55">
        <f>IF('04_DATA'!A720="","",IF(OR(C723="EXCLUDE",F723="EXCLUDE"),"Exclude under pre-specified rule",IF(E723&gt;0.15,"Exclude: &gt;15% missing",IF(G723="FLAG","Retain; test in robustness battery","Retain"))))</f>
        <v/>
      </c>
    </row>
    <row r="724">
      <c r="A724" s="55" t="n">
        <v>721</v>
      </c>
      <c r="B724" s="55">
        <f>IF('04_DATA'!A721="","",'04_DATA'!A721)</f>
        <v/>
      </c>
      <c r="C724" s="55">
        <f>IF('04_DATA'!A721="","",IF(AND('04_DATA'!G721=1,'04_DATA'!H721=1,'04_DATA'!I721&gt;=3),"eligible","EXCLUDE"))</f>
        <v/>
      </c>
      <c r="D724" s="55">
        <f>IF('04_DATA'!A721="","",37-COUNT('04_DATA'!$K721:$AU721))</f>
        <v/>
      </c>
      <c r="E724" s="63">
        <f>IF('04_DATA'!A721="","",(37-COUNT('04_DATA'!$K721:$AU721))/37)</f>
        <v/>
      </c>
      <c r="F724" s="55">
        <f>IF('04_DATA'!A721="","",IF(AND(COUNT('04_DATA'!$K721:$AU721)=37,COUNTIF('04_DATA'!$K721:$AU721,INDEX('04_DATA'!$K721:$AU721,1))=37),"EXCLUDE","ok"))</f>
        <v/>
      </c>
      <c r="G724" s="55">
        <f>IF('04_DATA'!A721="","",IF('04_DATA'!D721&lt;PERCENTILE('04_DATA'!$D$2:$D$1001,0.05),"FLAG","ok"))</f>
        <v/>
      </c>
      <c r="H724" s="55">
        <f>IF('04_DATA'!A721="","",IF(OR(C724="EXCLUDE",F724="EXCLUDE"),"Exclude under pre-specified rule",IF(E724&gt;0.15,"Exclude: &gt;15% missing",IF(G724="FLAG","Retain; test in robustness battery","Retain"))))</f>
        <v/>
      </c>
    </row>
    <row r="725">
      <c r="A725" s="55" t="n">
        <v>722</v>
      </c>
      <c r="B725" s="55">
        <f>IF('04_DATA'!A722="","",'04_DATA'!A722)</f>
        <v/>
      </c>
      <c r="C725" s="55">
        <f>IF('04_DATA'!A722="","",IF(AND('04_DATA'!G722=1,'04_DATA'!H722=1,'04_DATA'!I722&gt;=3),"eligible","EXCLUDE"))</f>
        <v/>
      </c>
      <c r="D725" s="55">
        <f>IF('04_DATA'!A722="","",37-COUNT('04_DATA'!$K722:$AU722))</f>
        <v/>
      </c>
      <c r="E725" s="63">
        <f>IF('04_DATA'!A722="","",(37-COUNT('04_DATA'!$K722:$AU722))/37)</f>
        <v/>
      </c>
      <c r="F725" s="55">
        <f>IF('04_DATA'!A722="","",IF(AND(COUNT('04_DATA'!$K722:$AU722)=37,COUNTIF('04_DATA'!$K722:$AU722,INDEX('04_DATA'!$K722:$AU722,1))=37),"EXCLUDE","ok"))</f>
        <v/>
      </c>
      <c r="G725" s="55">
        <f>IF('04_DATA'!A722="","",IF('04_DATA'!D722&lt;PERCENTILE('04_DATA'!$D$2:$D$1001,0.05),"FLAG","ok"))</f>
        <v/>
      </c>
      <c r="H725" s="55">
        <f>IF('04_DATA'!A722="","",IF(OR(C725="EXCLUDE",F725="EXCLUDE"),"Exclude under pre-specified rule",IF(E725&gt;0.15,"Exclude: &gt;15% missing",IF(G725="FLAG","Retain; test in robustness battery","Retain"))))</f>
        <v/>
      </c>
    </row>
    <row r="726">
      <c r="A726" s="55" t="n">
        <v>723</v>
      </c>
      <c r="B726" s="55">
        <f>IF('04_DATA'!A723="","",'04_DATA'!A723)</f>
        <v/>
      </c>
      <c r="C726" s="55">
        <f>IF('04_DATA'!A723="","",IF(AND('04_DATA'!G723=1,'04_DATA'!H723=1,'04_DATA'!I723&gt;=3),"eligible","EXCLUDE"))</f>
        <v/>
      </c>
      <c r="D726" s="55">
        <f>IF('04_DATA'!A723="","",37-COUNT('04_DATA'!$K723:$AU723))</f>
        <v/>
      </c>
      <c r="E726" s="63">
        <f>IF('04_DATA'!A723="","",(37-COUNT('04_DATA'!$K723:$AU723))/37)</f>
        <v/>
      </c>
      <c r="F726" s="55">
        <f>IF('04_DATA'!A723="","",IF(AND(COUNT('04_DATA'!$K723:$AU723)=37,COUNTIF('04_DATA'!$K723:$AU723,INDEX('04_DATA'!$K723:$AU723,1))=37),"EXCLUDE","ok"))</f>
        <v/>
      </c>
      <c r="G726" s="55">
        <f>IF('04_DATA'!A723="","",IF('04_DATA'!D723&lt;PERCENTILE('04_DATA'!$D$2:$D$1001,0.05),"FLAG","ok"))</f>
        <v/>
      </c>
      <c r="H726" s="55">
        <f>IF('04_DATA'!A723="","",IF(OR(C726="EXCLUDE",F726="EXCLUDE"),"Exclude under pre-specified rule",IF(E726&gt;0.15,"Exclude: &gt;15% missing",IF(G726="FLAG","Retain; test in robustness battery","Retain"))))</f>
        <v/>
      </c>
    </row>
    <row r="727">
      <c r="A727" s="55" t="n">
        <v>724</v>
      </c>
      <c r="B727" s="55">
        <f>IF('04_DATA'!A724="","",'04_DATA'!A724)</f>
        <v/>
      </c>
      <c r="C727" s="55">
        <f>IF('04_DATA'!A724="","",IF(AND('04_DATA'!G724=1,'04_DATA'!H724=1,'04_DATA'!I724&gt;=3),"eligible","EXCLUDE"))</f>
        <v/>
      </c>
      <c r="D727" s="55">
        <f>IF('04_DATA'!A724="","",37-COUNT('04_DATA'!$K724:$AU724))</f>
        <v/>
      </c>
      <c r="E727" s="63">
        <f>IF('04_DATA'!A724="","",(37-COUNT('04_DATA'!$K724:$AU724))/37)</f>
        <v/>
      </c>
      <c r="F727" s="55">
        <f>IF('04_DATA'!A724="","",IF(AND(COUNT('04_DATA'!$K724:$AU724)=37,COUNTIF('04_DATA'!$K724:$AU724,INDEX('04_DATA'!$K724:$AU724,1))=37),"EXCLUDE","ok"))</f>
        <v/>
      </c>
      <c r="G727" s="55">
        <f>IF('04_DATA'!A724="","",IF('04_DATA'!D724&lt;PERCENTILE('04_DATA'!$D$2:$D$1001,0.05),"FLAG","ok"))</f>
        <v/>
      </c>
      <c r="H727" s="55">
        <f>IF('04_DATA'!A724="","",IF(OR(C727="EXCLUDE",F727="EXCLUDE"),"Exclude under pre-specified rule",IF(E727&gt;0.15,"Exclude: &gt;15% missing",IF(G727="FLAG","Retain; test in robustness battery","Retain"))))</f>
        <v/>
      </c>
    </row>
    <row r="728">
      <c r="A728" s="55" t="n">
        <v>725</v>
      </c>
      <c r="B728" s="55">
        <f>IF('04_DATA'!A725="","",'04_DATA'!A725)</f>
        <v/>
      </c>
      <c r="C728" s="55">
        <f>IF('04_DATA'!A725="","",IF(AND('04_DATA'!G725=1,'04_DATA'!H725=1,'04_DATA'!I725&gt;=3),"eligible","EXCLUDE"))</f>
        <v/>
      </c>
      <c r="D728" s="55">
        <f>IF('04_DATA'!A725="","",37-COUNT('04_DATA'!$K725:$AU725))</f>
        <v/>
      </c>
      <c r="E728" s="63">
        <f>IF('04_DATA'!A725="","",(37-COUNT('04_DATA'!$K725:$AU725))/37)</f>
        <v/>
      </c>
      <c r="F728" s="55">
        <f>IF('04_DATA'!A725="","",IF(AND(COUNT('04_DATA'!$K725:$AU725)=37,COUNTIF('04_DATA'!$K725:$AU725,INDEX('04_DATA'!$K725:$AU725,1))=37),"EXCLUDE","ok"))</f>
        <v/>
      </c>
      <c r="G728" s="55">
        <f>IF('04_DATA'!A725="","",IF('04_DATA'!D725&lt;PERCENTILE('04_DATA'!$D$2:$D$1001,0.05),"FLAG","ok"))</f>
        <v/>
      </c>
      <c r="H728" s="55">
        <f>IF('04_DATA'!A725="","",IF(OR(C728="EXCLUDE",F728="EXCLUDE"),"Exclude under pre-specified rule",IF(E728&gt;0.15,"Exclude: &gt;15% missing",IF(G728="FLAG","Retain; test in robustness battery","Retain"))))</f>
        <v/>
      </c>
    </row>
    <row r="729">
      <c r="A729" s="55" t="n">
        <v>726</v>
      </c>
      <c r="B729" s="55">
        <f>IF('04_DATA'!A726="","",'04_DATA'!A726)</f>
        <v/>
      </c>
      <c r="C729" s="55">
        <f>IF('04_DATA'!A726="","",IF(AND('04_DATA'!G726=1,'04_DATA'!H726=1,'04_DATA'!I726&gt;=3),"eligible","EXCLUDE"))</f>
        <v/>
      </c>
      <c r="D729" s="55">
        <f>IF('04_DATA'!A726="","",37-COUNT('04_DATA'!$K726:$AU726))</f>
        <v/>
      </c>
      <c r="E729" s="63">
        <f>IF('04_DATA'!A726="","",(37-COUNT('04_DATA'!$K726:$AU726))/37)</f>
        <v/>
      </c>
      <c r="F729" s="55">
        <f>IF('04_DATA'!A726="","",IF(AND(COUNT('04_DATA'!$K726:$AU726)=37,COUNTIF('04_DATA'!$K726:$AU726,INDEX('04_DATA'!$K726:$AU726,1))=37),"EXCLUDE","ok"))</f>
        <v/>
      </c>
      <c r="G729" s="55">
        <f>IF('04_DATA'!A726="","",IF('04_DATA'!D726&lt;PERCENTILE('04_DATA'!$D$2:$D$1001,0.05),"FLAG","ok"))</f>
        <v/>
      </c>
      <c r="H729" s="55">
        <f>IF('04_DATA'!A726="","",IF(OR(C729="EXCLUDE",F729="EXCLUDE"),"Exclude under pre-specified rule",IF(E729&gt;0.15,"Exclude: &gt;15% missing",IF(G729="FLAG","Retain; test in robustness battery","Retain"))))</f>
        <v/>
      </c>
    </row>
    <row r="730">
      <c r="A730" s="55" t="n">
        <v>727</v>
      </c>
      <c r="B730" s="55">
        <f>IF('04_DATA'!A727="","",'04_DATA'!A727)</f>
        <v/>
      </c>
      <c r="C730" s="55">
        <f>IF('04_DATA'!A727="","",IF(AND('04_DATA'!G727=1,'04_DATA'!H727=1,'04_DATA'!I727&gt;=3),"eligible","EXCLUDE"))</f>
        <v/>
      </c>
      <c r="D730" s="55">
        <f>IF('04_DATA'!A727="","",37-COUNT('04_DATA'!$K727:$AU727))</f>
        <v/>
      </c>
      <c r="E730" s="63">
        <f>IF('04_DATA'!A727="","",(37-COUNT('04_DATA'!$K727:$AU727))/37)</f>
        <v/>
      </c>
      <c r="F730" s="55">
        <f>IF('04_DATA'!A727="","",IF(AND(COUNT('04_DATA'!$K727:$AU727)=37,COUNTIF('04_DATA'!$K727:$AU727,INDEX('04_DATA'!$K727:$AU727,1))=37),"EXCLUDE","ok"))</f>
        <v/>
      </c>
      <c r="G730" s="55">
        <f>IF('04_DATA'!A727="","",IF('04_DATA'!D727&lt;PERCENTILE('04_DATA'!$D$2:$D$1001,0.05),"FLAG","ok"))</f>
        <v/>
      </c>
      <c r="H730" s="55">
        <f>IF('04_DATA'!A727="","",IF(OR(C730="EXCLUDE",F730="EXCLUDE"),"Exclude under pre-specified rule",IF(E730&gt;0.15,"Exclude: &gt;15% missing",IF(G730="FLAG","Retain; test in robustness battery","Retain"))))</f>
        <v/>
      </c>
    </row>
    <row r="731">
      <c r="A731" s="55" t="n">
        <v>728</v>
      </c>
      <c r="B731" s="55">
        <f>IF('04_DATA'!A728="","",'04_DATA'!A728)</f>
        <v/>
      </c>
      <c r="C731" s="55">
        <f>IF('04_DATA'!A728="","",IF(AND('04_DATA'!G728=1,'04_DATA'!H728=1,'04_DATA'!I728&gt;=3),"eligible","EXCLUDE"))</f>
        <v/>
      </c>
      <c r="D731" s="55">
        <f>IF('04_DATA'!A728="","",37-COUNT('04_DATA'!$K728:$AU728))</f>
        <v/>
      </c>
      <c r="E731" s="63">
        <f>IF('04_DATA'!A728="","",(37-COUNT('04_DATA'!$K728:$AU728))/37)</f>
        <v/>
      </c>
      <c r="F731" s="55">
        <f>IF('04_DATA'!A728="","",IF(AND(COUNT('04_DATA'!$K728:$AU728)=37,COUNTIF('04_DATA'!$K728:$AU728,INDEX('04_DATA'!$K728:$AU728,1))=37),"EXCLUDE","ok"))</f>
        <v/>
      </c>
      <c r="G731" s="55">
        <f>IF('04_DATA'!A728="","",IF('04_DATA'!D728&lt;PERCENTILE('04_DATA'!$D$2:$D$1001,0.05),"FLAG","ok"))</f>
        <v/>
      </c>
      <c r="H731" s="55">
        <f>IF('04_DATA'!A728="","",IF(OR(C731="EXCLUDE",F731="EXCLUDE"),"Exclude under pre-specified rule",IF(E731&gt;0.15,"Exclude: &gt;15% missing",IF(G731="FLAG","Retain; test in robustness battery","Retain"))))</f>
        <v/>
      </c>
    </row>
    <row r="732">
      <c r="A732" s="55" t="n">
        <v>729</v>
      </c>
      <c r="B732" s="55">
        <f>IF('04_DATA'!A729="","",'04_DATA'!A729)</f>
        <v/>
      </c>
      <c r="C732" s="55">
        <f>IF('04_DATA'!A729="","",IF(AND('04_DATA'!G729=1,'04_DATA'!H729=1,'04_DATA'!I729&gt;=3),"eligible","EXCLUDE"))</f>
        <v/>
      </c>
      <c r="D732" s="55">
        <f>IF('04_DATA'!A729="","",37-COUNT('04_DATA'!$K729:$AU729))</f>
        <v/>
      </c>
      <c r="E732" s="63">
        <f>IF('04_DATA'!A729="","",(37-COUNT('04_DATA'!$K729:$AU729))/37)</f>
        <v/>
      </c>
      <c r="F732" s="55">
        <f>IF('04_DATA'!A729="","",IF(AND(COUNT('04_DATA'!$K729:$AU729)=37,COUNTIF('04_DATA'!$K729:$AU729,INDEX('04_DATA'!$K729:$AU729,1))=37),"EXCLUDE","ok"))</f>
        <v/>
      </c>
      <c r="G732" s="55">
        <f>IF('04_DATA'!A729="","",IF('04_DATA'!D729&lt;PERCENTILE('04_DATA'!$D$2:$D$1001,0.05),"FLAG","ok"))</f>
        <v/>
      </c>
      <c r="H732" s="55">
        <f>IF('04_DATA'!A729="","",IF(OR(C732="EXCLUDE",F732="EXCLUDE"),"Exclude under pre-specified rule",IF(E732&gt;0.15,"Exclude: &gt;15% missing",IF(G732="FLAG","Retain; test in robustness battery","Retain"))))</f>
        <v/>
      </c>
    </row>
    <row r="733">
      <c r="A733" s="55" t="n">
        <v>730</v>
      </c>
      <c r="B733" s="55">
        <f>IF('04_DATA'!A730="","",'04_DATA'!A730)</f>
        <v/>
      </c>
      <c r="C733" s="55">
        <f>IF('04_DATA'!A730="","",IF(AND('04_DATA'!G730=1,'04_DATA'!H730=1,'04_DATA'!I730&gt;=3),"eligible","EXCLUDE"))</f>
        <v/>
      </c>
      <c r="D733" s="55">
        <f>IF('04_DATA'!A730="","",37-COUNT('04_DATA'!$K730:$AU730))</f>
        <v/>
      </c>
      <c r="E733" s="63">
        <f>IF('04_DATA'!A730="","",(37-COUNT('04_DATA'!$K730:$AU730))/37)</f>
        <v/>
      </c>
      <c r="F733" s="55">
        <f>IF('04_DATA'!A730="","",IF(AND(COUNT('04_DATA'!$K730:$AU730)=37,COUNTIF('04_DATA'!$K730:$AU730,INDEX('04_DATA'!$K730:$AU730,1))=37),"EXCLUDE","ok"))</f>
        <v/>
      </c>
      <c r="G733" s="55">
        <f>IF('04_DATA'!A730="","",IF('04_DATA'!D730&lt;PERCENTILE('04_DATA'!$D$2:$D$1001,0.05),"FLAG","ok"))</f>
        <v/>
      </c>
      <c r="H733" s="55">
        <f>IF('04_DATA'!A730="","",IF(OR(C733="EXCLUDE",F733="EXCLUDE"),"Exclude under pre-specified rule",IF(E733&gt;0.15,"Exclude: &gt;15% missing",IF(G733="FLAG","Retain; test in robustness battery","Retain"))))</f>
        <v/>
      </c>
    </row>
    <row r="734">
      <c r="A734" s="55" t="n">
        <v>731</v>
      </c>
      <c r="B734" s="55">
        <f>IF('04_DATA'!A731="","",'04_DATA'!A731)</f>
        <v/>
      </c>
      <c r="C734" s="55">
        <f>IF('04_DATA'!A731="","",IF(AND('04_DATA'!G731=1,'04_DATA'!H731=1,'04_DATA'!I731&gt;=3),"eligible","EXCLUDE"))</f>
        <v/>
      </c>
      <c r="D734" s="55">
        <f>IF('04_DATA'!A731="","",37-COUNT('04_DATA'!$K731:$AU731))</f>
        <v/>
      </c>
      <c r="E734" s="63">
        <f>IF('04_DATA'!A731="","",(37-COUNT('04_DATA'!$K731:$AU731))/37)</f>
        <v/>
      </c>
      <c r="F734" s="55">
        <f>IF('04_DATA'!A731="","",IF(AND(COUNT('04_DATA'!$K731:$AU731)=37,COUNTIF('04_DATA'!$K731:$AU731,INDEX('04_DATA'!$K731:$AU731,1))=37),"EXCLUDE","ok"))</f>
        <v/>
      </c>
      <c r="G734" s="55">
        <f>IF('04_DATA'!A731="","",IF('04_DATA'!D731&lt;PERCENTILE('04_DATA'!$D$2:$D$1001,0.05),"FLAG","ok"))</f>
        <v/>
      </c>
      <c r="H734" s="55">
        <f>IF('04_DATA'!A731="","",IF(OR(C734="EXCLUDE",F734="EXCLUDE"),"Exclude under pre-specified rule",IF(E734&gt;0.15,"Exclude: &gt;15% missing",IF(G734="FLAG","Retain; test in robustness battery","Retain"))))</f>
        <v/>
      </c>
    </row>
    <row r="735">
      <c r="A735" s="55" t="n">
        <v>732</v>
      </c>
      <c r="B735" s="55">
        <f>IF('04_DATA'!A732="","",'04_DATA'!A732)</f>
        <v/>
      </c>
      <c r="C735" s="55">
        <f>IF('04_DATA'!A732="","",IF(AND('04_DATA'!G732=1,'04_DATA'!H732=1,'04_DATA'!I732&gt;=3),"eligible","EXCLUDE"))</f>
        <v/>
      </c>
      <c r="D735" s="55">
        <f>IF('04_DATA'!A732="","",37-COUNT('04_DATA'!$K732:$AU732))</f>
        <v/>
      </c>
      <c r="E735" s="63">
        <f>IF('04_DATA'!A732="","",(37-COUNT('04_DATA'!$K732:$AU732))/37)</f>
        <v/>
      </c>
      <c r="F735" s="55">
        <f>IF('04_DATA'!A732="","",IF(AND(COUNT('04_DATA'!$K732:$AU732)=37,COUNTIF('04_DATA'!$K732:$AU732,INDEX('04_DATA'!$K732:$AU732,1))=37),"EXCLUDE","ok"))</f>
        <v/>
      </c>
      <c r="G735" s="55">
        <f>IF('04_DATA'!A732="","",IF('04_DATA'!D732&lt;PERCENTILE('04_DATA'!$D$2:$D$1001,0.05),"FLAG","ok"))</f>
        <v/>
      </c>
      <c r="H735" s="55">
        <f>IF('04_DATA'!A732="","",IF(OR(C735="EXCLUDE",F735="EXCLUDE"),"Exclude under pre-specified rule",IF(E735&gt;0.15,"Exclude: &gt;15% missing",IF(G735="FLAG","Retain; test in robustness battery","Retain"))))</f>
        <v/>
      </c>
    </row>
    <row r="736">
      <c r="A736" s="55" t="n">
        <v>733</v>
      </c>
      <c r="B736" s="55">
        <f>IF('04_DATA'!A733="","",'04_DATA'!A733)</f>
        <v/>
      </c>
      <c r="C736" s="55">
        <f>IF('04_DATA'!A733="","",IF(AND('04_DATA'!G733=1,'04_DATA'!H733=1,'04_DATA'!I733&gt;=3),"eligible","EXCLUDE"))</f>
        <v/>
      </c>
      <c r="D736" s="55">
        <f>IF('04_DATA'!A733="","",37-COUNT('04_DATA'!$K733:$AU733))</f>
        <v/>
      </c>
      <c r="E736" s="63">
        <f>IF('04_DATA'!A733="","",(37-COUNT('04_DATA'!$K733:$AU733))/37)</f>
        <v/>
      </c>
      <c r="F736" s="55">
        <f>IF('04_DATA'!A733="","",IF(AND(COUNT('04_DATA'!$K733:$AU733)=37,COUNTIF('04_DATA'!$K733:$AU733,INDEX('04_DATA'!$K733:$AU733,1))=37),"EXCLUDE","ok"))</f>
        <v/>
      </c>
      <c r="G736" s="55">
        <f>IF('04_DATA'!A733="","",IF('04_DATA'!D733&lt;PERCENTILE('04_DATA'!$D$2:$D$1001,0.05),"FLAG","ok"))</f>
        <v/>
      </c>
      <c r="H736" s="55">
        <f>IF('04_DATA'!A733="","",IF(OR(C736="EXCLUDE",F736="EXCLUDE"),"Exclude under pre-specified rule",IF(E736&gt;0.15,"Exclude: &gt;15% missing",IF(G736="FLAG","Retain; test in robustness battery","Retain"))))</f>
        <v/>
      </c>
    </row>
    <row r="737">
      <c r="A737" s="55" t="n">
        <v>734</v>
      </c>
      <c r="B737" s="55">
        <f>IF('04_DATA'!A734="","",'04_DATA'!A734)</f>
        <v/>
      </c>
      <c r="C737" s="55">
        <f>IF('04_DATA'!A734="","",IF(AND('04_DATA'!G734=1,'04_DATA'!H734=1,'04_DATA'!I734&gt;=3),"eligible","EXCLUDE"))</f>
        <v/>
      </c>
      <c r="D737" s="55">
        <f>IF('04_DATA'!A734="","",37-COUNT('04_DATA'!$K734:$AU734))</f>
        <v/>
      </c>
      <c r="E737" s="63">
        <f>IF('04_DATA'!A734="","",(37-COUNT('04_DATA'!$K734:$AU734))/37)</f>
        <v/>
      </c>
      <c r="F737" s="55">
        <f>IF('04_DATA'!A734="","",IF(AND(COUNT('04_DATA'!$K734:$AU734)=37,COUNTIF('04_DATA'!$K734:$AU734,INDEX('04_DATA'!$K734:$AU734,1))=37),"EXCLUDE","ok"))</f>
        <v/>
      </c>
      <c r="G737" s="55">
        <f>IF('04_DATA'!A734="","",IF('04_DATA'!D734&lt;PERCENTILE('04_DATA'!$D$2:$D$1001,0.05),"FLAG","ok"))</f>
        <v/>
      </c>
      <c r="H737" s="55">
        <f>IF('04_DATA'!A734="","",IF(OR(C737="EXCLUDE",F737="EXCLUDE"),"Exclude under pre-specified rule",IF(E737&gt;0.15,"Exclude: &gt;15% missing",IF(G737="FLAG","Retain; test in robustness battery","Retain"))))</f>
        <v/>
      </c>
    </row>
    <row r="738">
      <c r="A738" s="55" t="n">
        <v>735</v>
      </c>
      <c r="B738" s="55">
        <f>IF('04_DATA'!A735="","",'04_DATA'!A735)</f>
        <v/>
      </c>
      <c r="C738" s="55">
        <f>IF('04_DATA'!A735="","",IF(AND('04_DATA'!G735=1,'04_DATA'!H735=1,'04_DATA'!I735&gt;=3),"eligible","EXCLUDE"))</f>
        <v/>
      </c>
      <c r="D738" s="55">
        <f>IF('04_DATA'!A735="","",37-COUNT('04_DATA'!$K735:$AU735))</f>
        <v/>
      </c>
      <c r="E738" s="63">
        <f>IF('04_DATA'!A735="","",(37-COUNT('04_DATA'!$K735:$AU735))/37)</f>
        <v/>
      </c>
      <c r="F738" s="55">
        <f>IF('04_DATA'!A735="","",IF(AND(COUNT('04_DATA'!$K735:$AU735)=37,COUNTIF('04_DATA'!$K735:$AU735,INDEX('04_DATA'!$K735:$AU735,1))=37),"EXCLUDE","ok"))</f>
        <v/>
      </c>
      <c r="G738" s="55">
        <f>IF('04_DATA'!A735="","",IF('04_DATA'!D735&lt;PERCENTILE('04_DATA'!$D$2:$D$1001,0.05),"FLAG","ok"))</f>
        <v/>
      </c>
      <c r="H738" s="55">
        <f>IF('04_DATA'!A735="","",IF(OR(C738="EXCLUDE",F738="EXCLUDE"),"Exclude under pre-specified rule",IF(E738&gt;0.15,"Exclude: &gt;15% missing",IF(G738="FLAG","Retain; test in robustness battery","Retain"))))</f>
        <v/>
      </c>
    </row>
    <row r="739">
      <c r="A739" s="55" t="n">
        <v>736</v>
      </c>
      <c r="B739" s="55">
        <f>IF('04_DATA'!A736="","",'04_DATA'!A736)</f>
        <v/>
      </c>
      <c r="C739" s="55">
        <f>IF('04_DATA'!A736="","",IF(AND('04_DATA'!G736=1,'04_DATA'!H736=1,'04_DATA'!I736&gt;=3),"eligible","EXCLUDE"))</f>
        <v/>
      </c>
      <c r="D739" s="55">
        <f>IF('04_DATA'!A736="","",37-COUNT('04_DATA'!$K736:$AU736))</f>
        <v/>
      </c>
      <c r="E739" s="63">
        <f>IF('04_DATA'!A736="","",(37-COUNT('04_DATA'!$K736:$AU736))/37)</f>
        <v/>
      </c>
      <c r="F739" s="55">
        <f>IF('04_DATA'!A736="","",IF(AND(COUNT('04_DATA'!$K736:$AU736)=37,COUNTIF('04_DATA'!$K736:$AU736,INDEX('04_DATA'!$K736:$AU736,1))=37),"EXCLUDE","ok"))</f>
        <v/>
      </c>
      <c r="G739" s="55">
        <f>IF('04_DATA'!A736="","",IF('04_DATA'!D736&lt;PERCENTILE('04_DATA'!$D$2:$D$1001,0.05),"FLAG","ok"))</f>
        <v/>
      </c>
      <c r="H739" s="55">
        <f>IF('04_DATA'!A736="","",IF(OR(C739="EXCLUDE",F739="EXCLUDE"),"Exclude under pre-specified rule",IF(E739&gt;0.15,"Exclude: &gt;15% missing",IF(G739="FLAG","Retain; test in robustness battery","Retain"))))</f>
        <v/>
      </c>
    </row>
    <row r="740">
      <c r="A740" s="55" t="n">
        <v>737</v>
      </c>
      <c r="B740" s="55">
        <f>IF('04_DATA'!A737="","",'04_DATA'!A737)</f>
        <v/>
      </c>
      <c r="C740" s="55">
        <f>IF('04_DATA'!A737="","",IF(AND('04_DATA'!G737=1,'04_DATA'!H737=1,'04_DATA'!I737&gt;=3),"eligible","EXCLUDE"))</f>
        <v/>
      </c>
      <c r="D740" s="55">
        <f>IF('04_DATA'!A737="","",37-COUNT('04_DATA'!$K737:$AU737))</f>
        <v/>
      </c>
      <c r="E740" s="63">
        <f>IF('04_DATA'!A737="","",(37-COUNT('04_DATA'!$K737:$AU737))/37)</f>
        <v/>
      </c>
      <c r="F740" s="55">
        <f>IF('04_DATA'!A737="","",IF(AND(COUNT('04_DATA'!$K737:$AU737)=37,COUNTIF('04_DATA'!$K737:$AU737,INDEX('04_DATA'!$K737:$AU737,1))=37),"EXCLUDE","ok"))</f>
        <v/>
      </c>
      <c r="G740" s="55">
        <f>IF('04_DATA'!A737="","",IF('04_DATA'!D737&lt;PERCENTILE('04_DATA'!$D$2:$D$1001,0.05),"FLAG","ok"))</f>
        <v/>
      </c>
      <c r="H740" s="55">
        <f>IF('04_DATA'!A737="","",IF(OR(C740="EXCLUDE",F740="EXCLUDE"),"Exclude under pre-specified rule",IF(E740&gt;0.15,"Exclude: &gt;15% missing",IF(G740="FLAG","Retain; test in robustness battery","Retain"))))</f>
        <v/>
      </c>
    </row>
    <row r="741">
      <c r="A741" s="55" t="n">
        <v>738</v>
      </c>
      <c r="B741" s="55">
        <f>IF('04_DATA'!A738="","",'04_DATA'!A738)</f>
        <v/>
      </c>
      <c r="C741" s="55">
        <f>IF('04_DATA'!A738="","",IF(AND('04_DATA'!G738=1,'04_DATA'!H738=1,'04_DATA'!I738&gt;=3),"eligible","EXCLUDE"))</f>
        <v/>
      </c>
      <c r="D741" s="55">
        <f>IF('04_DATA'!A738="","",37-COUNT('04_DATA'!$K738:$AU738))</f>
        <v/>
      </c>
      <c r="E741" s="63">
        <f>IF('04_DATA'!A738="","",(37-COUNT('04_DATA'!$K738:$AU738))/37)</f>
        <v/>
      </c>
      <c r="F741" s="55">
        <f>IF('04_DATA'!A738="","",IF(AND(COUNT('04_DATA'!$K738:$AU738)=37,COUNTIF('04_DATA'!$K738:$AU738,INDEX('04_DATA'!$K738:$AU738,1))=37),"EXCLUDE","ok"))</f>
        <v/>
      </c>
      <c r="G741" s="55">
        <f>IF('04_DATA'!A738="","",IF('04_DATA'!D738&lt;PERCENTILE('04_DATA'!$D$2:$D$1001,0.05),"FLAG","ok"))</f>
        <v/>
      </c>
      <c r="H741" s="55">
        <f>IF('04_DATA'!A738="","",IF(OR(C741="EXCLUDE",F741="EXCLUDE"),"Exclude under pre-specified rule",IF(E741&gt;0.15,"Exclude: &gt;15% missing",IF(G741="FLAG","Retain; test in robustness battery","Retain"))))</f>
        <v/>
      </c>
    </row>
    <row r="742">
      <c r="A742" s="55" t="n">
        <v>739</v>
      </c>
      <c r="B742" s="55">
        <f>IF('04_DATA'!A739="","",'04_DATA'!A739)</f>
        <v/>
      </c>
      <c r="C742" s="55">
        <f>IF('04_DATA'!A739="","",IF(AND('04_DATA'!G739=1,'04_DATA'!H739=1,'04_DATA'!I739&gt;=3),"eligible","EXCLUDE"))</f>
        <v/>
      </c>
      <c r="D742" s="55">
        <f>IF('04_DATA'!A739="","",37-COUNT('04_DATA'!$K739:$AU739))</f>
        <v/>
      </c>
      <c r="E742" s="63">
        <f>IF('04_DATA'!A739="","",(37-COUNT('04_DATA'!$K739:$AU739))/37)</f>
        <v/>
      </c>
      <c r="F742" s="55">
        <f>IF('04_DATA'!A739="","",IF(AND(COUNT('04_DATA'!$K739:$AU739)=37,COUNTIF('04_DATA'!$K739:$AU739,INDEX('04_DATA'!$K739:$AU739,1))=37),"EXCLUDE","ok"))</f>
        <v/>
      </c>
      <c r="G742" s="55">
        <f>IF('04_DATA'!A739="","",IF('04_DATA'!D739&lt;PERCENTILE('04_DATA'!$D$2:$D$1001,0.05),"FLAG","ok"))</f>
        <v/>
      </c>
      <c r="H742" s="55">
        <f>IF('04_DATA'!A739="","",IF(OR(C742="EXCLUDE",F742="EXCLUDE"),"Exclude under pre-specified rule",IF(E742&gt;0.15,"Exclude: &gt;15% missing",IF(G742="FLAG","Retain; test in robustness battery","Retain"))))</f>
        <v/>
      </c>
    </row>
    <row r="743">
      <c r="A743" s="55" t="n">
        <v>740</v>
      </c>
      <c r="B743" s="55">
        <f>IF('04_DATA'!A740="","",'04_DATA'!A740)</f>
        <v/>
      </c>
      <c r="C743" s="55">
        <f>IF('04_DATA'!A740="","",IF(AND('04_DATA'!G740=1,'04_DATA'!H740=1,'04_DATA'!I740&gt;=3),"eligible","EXCLUDE"))</f>
        <v/>
      </c>
      <c r="D743" s="55">
        <f>IF('04_DATA'!A740="","",37-COUNT('04_DATA'!$K740:$AU740))</f>
        <v/>
      </c>
      <c r="E743" s="63">
        <f>IF('04_DATA'!A740="","",(37-COUNT('04_DATA'!$K740:$AU740))/37)</f>
        <v/>
      </c>
      <c r="F743" s="55">
        <f>IF('04_DATA'!A740="","",IF(AND(COUNT('04_DATA'!$K740:$AU740)=37,COUNTIF('04_DATA'!$K740:$AU740,INDEX('04_DATA'!$K740:$AU740,1))=37),"EXCLUDE","ok"))</f>
        <v/>
      </c>
      <c r="G743" s="55">
        <f>IF('04_DATA'!A740="","",IF('04_DATA'!D740&lt;PERCENTILE('04_DATA'!$D$2:$D$1001,0.05),"FLAG","ok"))</f>
        <v/>
      </c>
      <c r="H743" s="55">
        <f>IF('04_DATA'!A740="","",IF(OR(C743="EXCLUDE",F743="EXCLUDE"),"Exclude under pre-specified rule",IF(E743&gt;0.15,"Exclude: &gt;15% missing",IF(G743="FLAG","Retain; test in robustness battery","Retain"))))</f>
        <v/>
      </c>
    </row>
    <row r="744">
      <c r="A744" s="55" t="n">
        <v>741</v>
      </c>
      <c r="B744" s="55">
        <f>IF('04_DATA'!A741="","",'04_DATA'!A741)</f>
        <v/>
      </c>
      <c r="C744" s="55">
        <f>IF('04_DATA'!A741="","",IF(AND('04_DATA'!G741=1,'04_DATA'!H741=1,'04_DATA'!I741&gt;=3),"eligible","EXCLUDE"))</f>
        <v/>
      </c>
      <c r="D744" s="55">
        <f>IF('04_DATA'!A741="","",37-COUNT('04_DATA'!$K741:$AU741))</f>
        <v/>
      </c>
      <c r="E744" s="63">
        <f>IF('04_DATA'!A741="","",(37-COUNT('04_DATA'!$K741:$AU741))/37)</f>
        <v/>
      </c>
      <c r="F744" s="55">
        <f>IF('04_DATA'!A741="","",IF(AND(COUNT('04_DATA'!$K741:$AU741)=37,COUNTIF('04_DATA'!$K741:$AU741,INDEX('04_DATA'!$K741:$AU741,1))=37),"EXCLUDE","ok"))</f>
        <v/>
      </c>
      <c r="G744" s="55">
        <f>IF('04_DATA'!A741="","",IF('04_DATA'!D741&lt;PERCENTILE('04_DATA'!$D$2:$D$1001,0.05),"FLAG","ok"))</f>
        <v/>
      </c>
      <c r="H744" s="55">
        <f>IF('04_DATA'!A741="","",IF(OR(C744="EXCLUDE",F744="EXCLUDE"),"Exclude under pre-specified rule",IF(E744&gt;0.15,"Exclude: &gt;15% missing",IF(G744="FLAG","Retain; test in robustness battery","Retain"))))</f>
        <v/>
      </c>
    </row>
    <row r="745">
      <c r="A745" s="55" t="n">
        <v>742</v>
      </c>
      <c r="B745" s="55">
        <f>IF('04_DATA'!A742="","",'04_DATA'!A742)</f>
        <v/>
      </c>
      <c r="C745" s="55">
        <f>IF('04_DATA'!A742="","",IF(AND('04_DATA'!G742=1,'04_DATA'!H742=1,'04_DATA'!I742&gt;=3),"eligible","EXCLUDE"))</f>
        <v/>
      </c>
      <c r="D745" s="55">
        <f>IF('04_DATA'!A742="","",37-COUNT('04_DATA'!$K742:$AU742))</f>
        <v/>
      </c>
      <c r="E745" s="63">
        <f>IF('04_DATA'!A742="","",(37-COUNT('04_DATA'!$K742:$AU742))/37)</f>
        <v/>
      </c>
      <c r="F745" s="55">
        <f>IF('04_DATA'!A742="","",IF(AND(COUNT('04_DATA'!$K742:$AU742)=37,COUNTIF('04_DATA'!$K742:$AU742,INDEX('04_DATA'!$K742:$AU742,1))=37),"EXCLUDE","ok"))</f>
        <v/>
      </c>
      <c r="G745" s="55">
        <f>IF('04_DATA'!A742="","",IF('04_DATA'!D742&lt;PERCENTILE('04_DATA'!$D$2:$D$1001,0.05),"FLAG","ok"))</f>
        <v/>
      </c>
      <c r="H745" s="55">
        <f>IF('04_DATA'!A742="","",IF(OR(C745="EXCLUDE",F745="EXCLUDE"),"Exclude under pre-specified rule",IF(E745&gt;0.15,"Exclude: &gt;15% missing",IF(G745="FLAG","Retain; test in robustness battery","Retain"))))</f>
        <v/>
      </c>
    </row>
    <row r="746">
      <c r="A746" s="55" t="n">
        <v>743</v>
      </c>
      <c r="B746" s="55">
        <f>IF('04_DATA'!A743="","",'04_DATA'!A743)</f>
        <v/>
      </c>
      <c r="C746" s="55">
        <f>IF('04_DATA'!A743="","",IF(AND('04_DATA'!G743=1,'04_DATA'!H743=1,'04_DATA'!I743&gt;=3),"eligible","EXCLUDE"))</f>
        <v/>
      </c>
      <c r="D746" s="55">
        <f>IF('04_DATA'!A743="","",37-COUNT('04_DATA'!$K743:$AU743))</f>
        <v/>
      </c>
      <c r="E746" s="63">
        <f>IF('04_DATA'!A743="","",(37-COUNT('04_DATA'!$K743:$AU743))/37)</f>
        <v/>
      </c>
      <c r="F746" s="55">
        <f>IF('04_DATA'!A743="","",IF(AND(COUNT('04_DATA'!$K743:$AU743)=37,COUNTIF('04_DATA'!$K743:$AU743,INDEX('04_DATA'!$K743:$AU743,1))=37),"EXCLUDE","ok"))</f>
        <v/>
      </c>
      <c r="G746" s="55">
        <f>IF('04_DATA'!A743="","",IF('04_DATA'!D743&lt;PERCENTILE('04_DATA'!$D$2:$D$1001,0.05),"FLAG","ok"))</f>
        <v/>
      </c>
      <c r="H746" s="55">
        <f>IF('04_DATA'!A743="","",IF(OR(C746="EXCLUDE",F746="EXCLUDE"),"Exclude under pre-specified rule",IF(E746&gt;0.15,"Exclude: &gt;15% missing",IF(G746="FLAG","Retain; test in robustness battery","Retain"))))</f>
        <v/>
      </c>
    </row>
    <row r="747">
      <c r="A747" s="55" t="n">
        <v>744</v>
      </c>
      <c r="B747" s="55">
        <f>IF('04_DATA'!A744="","",'04_DATA'!A744)</f>
        <v/>
      </c>
      <c r="C747" s="55">
        <f>IF('04_DATA'!A744="","",IF(AND('04_DATA'!G744=1,'04_DATA'!H744=1,'04_DATA'!I744&gt;=3),"eligible","EXCLUDE"))</f>
        <v/>
      </c>
      <c r="D747" s="55">
        <f>IF('04_DATA'!A744="","",37-COUNT('04_DATA'!$K744:$AU744))</f>
        <v/>
      </c>
      <c r="E747" s="63">
        <f>IF('04_DATA'!A744="","",(37-COUNT('04_DATA'!$K744:$AU744))/37)</f>
        <v/>
      </c>
      <c r="F747" s="55">
        <f>IF('04_DATA'!A744="","",IF(AND(COUNT('04_DATA'!$K744:$AU744)=37,COUNTIF('04_DATA'!$K744:$AU744,INDEX('04_DATA'!$K744:$AU744,1))=37),"EXCLUDE","ok"))</f>
        <v/>
      </c>
      <c r="G747" s="55">
        <f>IF('04_DATA'!A744="","",IF('04_DATA'!D744&lt;PERCENTILE('04_DATA'!$D$2:$D$1001,0.05),"FLAG","ok"))</f>
        <v/>
      </c>
      <c r="H747" s="55">
        <f>IF('04_DATA'!A744="","",IF(OR(C747="EXCLUDE",F747="EXCLUDE"),"Exclude under pre-specified rule",IF(E747&gt;0.15,"Exclude: &gt;15% missing",IF(G747="FLAG","Retain; test in robustness battery","Retain"))))</f>
        <v/>
      </c>
    </row>
    <row r="748">
      <c r="A748" s="55" t="n">
        <v>745</v>
      </c>
      <c r="B748" s="55">
        <f>IF('04_DATA'!A745="","",'04_DATA'!A745)</f>
        <v/>
      </c>
      <c r="C748" s="55">
        <f>IF('04_DATA'!A745="","",IF(AND('04_DATA'!G745=1,'04_DATA'!H745=1,'04_DATA'!I745&gt;=3),"eligible","EXCLUDE"))</f>
        <v/>
      </c>
      <c r="D748" s="55">
        <f>IF('04_DATA'!A745="","",37-COUNT('04_DATA'!$K745:$AU745))</f>
        <v/>
      </c>
      <c r="E748" s="63">
        <f>IF('04_DATA'!A745="","",(37-COUNT('04_DATA'!$K745:$AU745))/37)</f>
        <v/>
      </c>
      <c r="F748" s="55">
        <f>IF('04_DATA'!A745="","",IF(AND(COUNT('04_DATA'!$K745:$AU745)=37,COUNTIF('04_DATA'!$K745:$AU745,INDEX('04_DATA'!$K745:$AU745,1))=37),"EXCLUDE","ok"))</f>
        <v/>
      </c>
      <c r="G748" s="55">
        <f>IF('04_DATA'!A745="","",IF('04_DATA'!D745&lt;PERCENTILE('04_DATA'!$D$2:$D$1001,0.05),"FLAG","ok"))</f>
        <v/>
      </c>
      <c r="H748" s="55">
        <f>IF('04_DATA'!A745="","",IF(OR(C748="EXCLUDE",F748="EXCLUDE"),"Exclude under pre-specified rule",IF(E748&gt;0.15,"Exclude: &gt;15% missing",IF(G748="FLAG","Retain; test in robustness battery","Retain"))))</f>
        <v/>
      </c>
    </row>
    <row r="749">
      <c r="A749" s="55" t="n">
        <v>746</v>
      </c>
      <c r="B749" s="55">
        <f>IF('04_DATA'!A746="","",'04_DATA'!A746)</f>
        <v/>
      </c>
      <c r="C749" s="55">
        <f>IF('04_DATA'!A746="","",IF(AND('04_DATA'!G746=1,'04_DATA'!H746=1,'04_DATA'!I746&gt;=3),"eligible","EXCLUDE"))</f>
        <v/>
      </c>
      <c r="D749" s="55">
        <f>IF('04_DATA'!A746="","",37-COUNT('04_DATA'!$K746:$AU746))</f>
        <v/>
      </c>
      <c r="E749" s="63">
        <f>IF('04_DATA'!A746="","",(37-COUNT('04_DATA'!$K746:$AU746))/37)</f>
        <v/>
      </c>
      <c r="F749" s="55">
        <f>IF('04_DATA'!A746="","",IF(AND(COUNT('04_DATA'!$K746:$AU746)=37,COUNTIF('04_DATA'!$K746:$AU746,INDEX('04_DATA'!$K746:$AU746,1))=37),"EXCLUDE","ok"))</f>
        <v/>
      </c>
      <c r="G749" s="55">
        <f>IF('04_DATA'!A746="","",IF('04_DATA'!D746&lt;PERCENTILE('04_DATA'!$D$2:$D$1001,0.05),"FLAG","ok"))</f>
        <v/>
      </c>
      <c r="H749" s="55">
        <f>IF('04_DATA'!A746="","",IF(OR(C749="EXCLUDE",F749="EXCLUDE"),"Exclude under pre-specified rule",IF(E749&gt;0.15,"Exclude: &gt;15% missing",IF(G749="FLAG","Retain; test in robustness battery","Retain"))))</f>
        <v/>
      </c>
    </row>
    <row r="750">
      <c r="A750" s="55" t="n">
        <v>747</v>
      </c>
      <c r="B750" s="55">
        <f>IF('04_DATA'!A747="","",'04_DATA'!A747)</f>
        <v/>
      </c>
      <c r="C750" s="55">
        <f>IF('04_DATA'!A747="","",IF(AND('04_DATA'!G747=1,'04_DATA'!H747=1,'04_DATA'!I747&gt;=3),"eligible","EXCLUDE"))</f>
        <v/>
      </c>
      <c r="D750" s="55">
        <f>IF('04_DATA'!A747="","",37-COUNT('04_DATA'!$K747:$AU747))</f>
        <v/>
      </c>
      <c r="E750" s="63">
        <f>IF('04_DATA'!A747="","",(37-COUNT('04_DATA'!$K747:$AU747))/37)</f>
        <v/>
      </c>
      <c r="F750" s="55">
        <f>IF('04_DATA'!A747="","",IF(AND(COUNT('04_DATA'!$K747:$AU747)=37,COUNTIF('04_DATA'!$K747:$AU747,INDEX('04_DATA'!$K747:$AU747,1))=37),"EXCLUDE","ok"))</f>
        <v/>
      </c>
      <c r="G750" s="55">
        <f>IF('04_DATA'!A747="","",IF('04_DATA'!D747&lt;PERCENTILE('04_DATA'!$D$2:$D$1001,0.05),"FLAG","ok"))</f>
        <v/>
      </c>
      <c r="H750" s="55">
        <f>IF('04_DATA'!A747="","",IF(OR(C750="EXCLUDE",F750="EXCLUDE"),"Exclude under pre-specified rule",IF(E750&gt;0.15,"Exclude: &gt;15% missing",IF(G750="FLAG","Retain; test in robustness battery","Retain"))))</f>
        <v/>
      </c>
    </row>
    <row r="751">
      <c r="A751" s="55" t="n">
        <v>748</v>
      </c>
      <c r="B751" s="55">
        <f>IF('04_DATA'!A748="","",'04_DATA'!A748)</f>
        <v/>
      </c>
      <c r="C751" s="55">
        <f>IF('04_DATA'!A748="","",IF(AND('04_DATA'!G748=1,'04_DATA'!H748=1,'04_DATA'!I748&gt;=3),"eligible","EXCLUDE"))</f>
        <v/>
      </c>
      <c r="D751" s="55">
        <f>IF('04_DATA'!A748="","",37-COUNT('04_DATA'!$K748:$AU748))</f>
        <v/>
      </c>
      <c r="E751" s="63">
        <f>IF('04_DATA'!A748="","",(37-COUNT('04_DATA'!$K748:$AU748))/37)</f>
        <v/>
      </c>
      <c r="F751" s="55">
        <f>IF('04_DATA'!A748="","",IF(AND(COUNT('04_DATA'!$K748:$AU748)=37,COUNTIF('04_DATA'!$K748:$AU748,INDEX('04_DATA'!$K748:$AU748,1))=37),"EXCLUDE","ok"))</f>
        <v/>
      </c>
      <c r="G751" s="55">
        <f>IF('04_DATA'!A748="","",IF('04_DATA'!D748&lt;PERCENTILE('04_DATA'!$D$2:$D$1001,0.05),"FLAG","ok"))</f>
        <v/>
      </c>
      <c r="H751" s="55">
        <f>IF('04_DATA'!A748="","",IF(OR(C751="EXCLUDE",F751="EXCLUDE"),"Exclude under pre-specified rule",IF(E751&gt;0.15,"Exclude: &gt;15% missing",IF(G751="FLAG","Retain; test in robustness battery","Retain"))))</f>
        <v/>
      </c>
    </row>
    <row r="752">
      <c r="A752" s="55" t="n">
        <v>749</v>
      </c>
      <c r="B752" s="55">
        <f>IF('04_DATA'!A749="","",'04_DATA'!A749)</f>
        <v/>
      </c>
      <c r="C752" s="55">
        <f>IF('04_DATA'!A749="","",IF(AND('04_DATA'!G749=1,'04_DATA'!H749=1,'04_DATA'!I749&gt;=3),"eligible","EXCLUDE"))</f>
        <v/>
      </c>
      <c r="D752" s="55">
        <f>IF('04_DATA'!A749="","",37-COUNT('04_DATA'!$K749:$AU749))</f>
        <v/>
      </c>
      <c r="E752" s="63">
        <f>IF('04_DATA'!A749="","",(37-COUNT('04_DATA'!$K749:$AU749))/37)</f>
        <v/>
      </c>
      <c r="F752" s="55">
        <f>IF('04_DATA'!A749="","",IF(AND(COUNT('04_DATA'!$K749:$AU749)=37,COUNTIF('04_DATA'!$K749:$AU749,INDEX('04_DATA'!$K749:$AU749,1))=37),"EXCLUDE","ok"))</f>
        <v/>
      </c>
      <c r="G752" s="55">
        <f>IF('04_DATA'!A749="","",IF('04_DATA'!D749&lt;PERCENTILE('04_DATA'!$D$2:$D$1001,0.05),"FLAG","ok"))</f>
        <v/>
      </c>
      <c r="H752" s="55">
        <f>IF('04_DATA'!A749="","",IF(OR(C752="EXCLUDE",F752="EXCLUDE"),"Exclude under pre-specified rule",IF(E752&gt;0.15,"Exclude: &gt;15% missing",IF(G752="FLAG","Retain; test in robustness battery","Retain"))))</f>
        <v/>
      </c>
    </row>
    <row r="753">
      <c r="A753" s="55" t="n">
        <v>750</v>
      </c>
      <c r="B753" s="55">
        <f>IF('04_DATA'!A750="","",'04_DATA'!A750)</f>
        <v/>
      </c>
      <c r="C753" s="55">
        <f>IF('04_DATA'!A750="","",IF(AND('04_DATA'!G750=1,'04_DATA'!H750=1,'04_DATA'!I750&gt;=3),"eligible","EXCLUDE"))</f>
        <v/>
      </c>
      <c r="D753" s="55">
        <f>IF('04_DATA'!A750="","",37-COUNT('04_DATA'!$K750:$AU750))</f>
        <v/>
      </c>
      <c r="E753" s="63">
        <f>IF('04_DATA'!A750="","",(37-COUNT('04_DATA'!$K750:$AU750))/37)</f>
        <v/>
      </c>
      <c r="F753" s="55">
        <f>IF('04_DATA'!A750="","",IF(AND(COUNT('04_DATA'!$K750:$AU750)=37,COUNTIF('04_DATA'!$K750:$AU750,INDEX('04_DATA'!$K750:$AU750,1))=37),"EXCLUDE","ok"))</f>
        <v/>
      </c>
      <c r="G753" s="55">
        <f>IF('04_DATA'!A750="","",IF('04_DATA'!D750&lt;PERCENTILE('04_DATA'!$D$2:$D$1001,0.05),"FLAG","ok"))</f>
        <v/>
      </c>
      <c r="H753" s="55">
        <f>IF('04_DATA'!A750="","",IF(OR(C753="EXCLUDE",F753="EXCLUDE"),"Exclude under pre-specified rule",IF(E753&gt;0.15,"Exclude: &gt;15% missing",IF(G753="FLAG","Retain; test in robustness battery","Retain"))))</f>
        <v/>
      </c>
    </row>
    <row r="754">
      <c r="A754" s="55" t="n">
        <v>751</v>
      </c>
      <c r="B754" s="55">
        <f>IF('04_DATA'!A751="","",'04_DATA'!A751)</f>
        <v/>
      </c>
      <c r="C754" s="55">
        <f>IF('04_DATA'!A751="","",IF(AND('04_DATA'!G751=1,'04_DATA'!H751=1,'04_DATA'!I751&gt;=3),"eligible","EXCLUDE"))</f>
        <v/>
      </c>
      <c r="D754" s="55">
        <f>IF('04_DATA'!A751="","",37-COUNT('04_DATA'!$K751:$AU751))</f>
        <v/>
      </c>
      <c r="E754" s="63">
        <f>IF('04_DATA'!A751="","",(37-COUNT('04_DATA'!$K751:$AU751))/37)</f>
        <v/>
      </c>
      <c r="F754" s="55">
        <f>IF('04_DATA'!A751="","",IF(AND(COUNT('04_DATA'!$K751:$AU751)=37,COUNTIF('04_DATA'!$K751:$AU751,INDEX('04_DATA'!$K751:$AU751,1))=37),"EXCLUDE","ok"))</f>
        <v/>
      </c>
      <c r="G754" s="55">
        <f>IF('04_DATA'!A751="","",IF('04_DATA'!D751&lt;PERCENTILE('04_DATA'!$D$2:$D$1001,0.05),"FLAG","ok"))</f>
        <v/>
      </c>
      <c r="H754" s="55">
        <f>IF('04_DATA'!A751="","",IF(OR(C754="EXCLUDE",F754="EXCLUDE"),"Exclude under pre-specified rule",IF(E754&gt;0.15,"Exclude: &gt;15% missing",IF(G754="FLAG","Retain; test in robustness battery","Retain"))))</f>
        <v/>
      </c>
    </row>
    <row r="755">
      <c r="A755" s="55" t="n">
        <v>752</v>
      </c>
      <c r="B755" s="55">
        <f>IF('04_DATA'!A752="","",'04_DATA'!A752)</f>
        <v/>
      </c>
      <c r="C755" s="55">
        <f>IF('04_DATA'!A752="","",IF(AND('04_DATA'!G752=1,'04_DATA'!H752=1,'04_DATA'!I752&gt;=3),"eligible","EXCLUDE"))</f>
        <v/>
      </c>
      <c r="D755" s="55">
        <f>IF('04_DATA'!A752="","",37-COUNT('04_DATA'!$K752:$AU752))</f>
        <v/>
      </c>
      <c r="E755" s="63">
        <f>IF('04_DATA'!A752="","",(37-COUNT('04_DATA'!$K752:$AU752))/37)</f>
        <v/>
      </c>
      <c r="F755" s="55">
        <f>IF('04_DATA'!A752="","",IF(AND(COUNT('04_DATA'!$K752:$AU752)=37,COUNTIF('04_DATA'!$K752:$AU752,INDEX('04_DATA'!$K752:$AU752,1))=37),"EXCLUDE","ok"))</f>
        <v/>
      </c>
      <c r="G755" s="55">
        <f>IF('04_DATA'!A752="","",IF('04_DATA'!D752&lt;PERCENTILE('04_DATA'!$D$2:$D$1001,0.05),"FLAG","ok"))</f>
        <v/>
      </c>
      <c r="H755" s="55">
        <f>IF('04_DATA'!A752="","",IF(OR(C755="EXCLUDE",F755="EXCLUDE"),"Exclude under pre-specified rule",IF(E755&gt;0.15,"Exclude: &gt;15% missing",IF(G755="FLAG","Retain; test in robustness battery","Retain"))))</f>
        <v/>
      </c>
    </row>
    <row r="756">
      <c r="A756" s="55" t="n">
        <v>753</v>
      </c>
      <c r="B756" s="55">
        <f>IF('04_DATA'!A753="","",'04_DATA'!A753)</f>
        <v/>
      </c>
      <c r="C756" s="55">
        <f>IF('04_DATA'!A753="","",IF(AND('04_DATA'!G753=1,'04_DATA'!H753=1,'04_DATA'!I753&gt;=3),"eligible","EXCLUDE"))</f>
        <v/>
      </c>
      <c r="D756" s="55">
        <f>IF('04_DATA'!A753="","",37-COUNT('04_DATA'!$K753:$AU753))</f>
        <v/>
      </c>
      <c r="E756" s="63">
        <f>IF('04_DATA'!A753="","",(37-COUNT('04_DATA'!$K753:$AU753))/37)</f>
        <v/>
      </c>
      <c r="F756" s="55">
        <f>IF('04_DATA'!A753="","",IF(AND(COUNT('04_DATA'!$K753:$AU753)=37,COUNTIF('04_DATA'!$K753:$AU753,INDEX('04_DATA'!$K753:$AU753,1))=37),"EXCLUDE","ok"))</f>
        <v/>
      </c>
      <c r="G756" s="55">
        <f>IF('04_DATA'!A753="","",IF('04_DATA'!D753&lt;PERCENTILE('04_DATA'!$D$2:$D$1001,0.05),"FLAG","ok"))</f>
        <v/>
      </c>
      <c r="H756" s="55">
        <f>IF('04_DATA'!A753="","",IF(OR(C756="EXCLUDE",F756="EXCLUDE"),"Exclude under pre-specified rule",IF(E756&gt;0.15,"Exclude: &gt;15% missing",IF(G756="FLAG","Retain; test in robustness battery","Retain"))))</f>
        <v/>
      </c>
    </row>
    <row r="757">
      <c r="A757" s="55" t="n">
        <v>754</v>
      </c>
      <c r="B757" s="55">
        <f>IF('04_DATA'!A754="","",'04_DATA'!A754)</f>
        <v/>
      </c>
      <c r="C757" s="55">
        <f>IF('04_DATA'!A754="","",IF(AND('04_DATA'!G754=1,'04_DATA'!H754=1,'04_DATA'!I754&gt;=3),"eligible","EXCLUDE"))</f>
        <v/>
      </c>
      <c r="D757" s="55">
        <f>IF('04_DATA'!A754="","",37-COUNT('04_DATA'!$K754:$AU754))</f>
        <v/>
      </c>
      <c r="E757" s="63">
        <f>IF('04_DATA'!A754="","",(37-COUNT('04_DATA'!$K754:$AU754))/37)</f>
        <v/>
      </c>
      <c r="F757" s="55">
        <f>IF('04_DATA'!A754="","",IF(AND(COUNT('04_DATA'!$K754:$AU754)=37,COUNTIF('04_DATA'!$K754:$AU754,INDEX('04_DATA'!$K754:$AU754,1))=37),"EXCLUDE","ok"))</f>
        <v/>
      </c>
      <c r="G757" s="55">
        <f>IF('04_DATA'!A754="","",IF('04_DATA'!D754&lt;PERCENTILE('04_DATA'!$D$2:$D$1001,0.05),"FLAG","ok"))</f>
        <v/>
      </c>
      <c r="H757" s="55">
        <f>IF('04_DATA'!A754="","",IF(OR(C757="EXCLUDE",F757="EXCLUDE"),"Exclude under pre-specified rule",IF(E757&gt;0.15,"Exclude: &gt;15% missing",IF(G757="FLAG","Retain; test in robustness battery","Retain"))))</f>
        <v/>
      </c>
    </row>
    <row r="758">
      <c r="A758" s="55" t="n">
        <v>755</v>
      </c>
      <c r="B758" s="55">
        <f>IF('04_DATA'!A755="","",'04_DATA'!A755)</f>
        <v/>
      </c>
      <c r="C758" s="55">
        <f>IF('04_DATA'!A755="","",IF(AND('04_DATA'!G755=1,'04_DATA'!H755=1,'04_DATA'!I755&gt;=3),"eligible","EXCLUDE"))</f>
        <v/>
      </c>
      <c r="D758" s="55">
        <f>IF('04_DATA'!A755="","",37-COUNT('04_DATA'!$K755:$AU755))</f>
        <v/>
      </c>
      <c r="E758" s="63">
        <f>IF('04_DATA'!A755="","",(37-COUNT('04_DATA'!$K755:$AU755))/37)</f>
        <v/>
      </c>
      <c r="F758" s="55">
        <f>IF('04_DATA'!A755="","",IF(AND(COUNT('04_DATA'!$K755:$AU755)=37,COUNTIF('04_DATA'!$K755:$AU755,INDEX('04_DATA'!$K755:$AU755,1))=37),"EXCLUDE","ok"))</f>
        <v/>
      </c>
      <c r="G758" s="55">
        <f>IF('04_DATA'!A755="","",IF('04_DATA'!D755&lt;PERCENTILE('04_DATA'!$D$2:$D$1001,0.05),"FLAG","ok"))</f>
        <v/>
      </c>
      <c r="H758" s="55">
        <f>IF('04_DATA'!A755="","",IF(OR(C758="EXCLUDE",F758="EXCLUDE"),"Exclude under pre-specified rule",IF(E758&gt;0.15,"Exclude: &gt;15% missing",IF(G758="FLAG","Retain; test in robustness battery","Retain"))))</f>
        <v/>
      </c>
    </row>
    <row r="759">
      <c r="A759" s="55" t="n">
        <v>756</v>
      </c>
      <c r="B759" s="55">
        <f>IF('04_DATA'!A756="","",'04_DATA'!A756)</f>
        <v/>
      </c>
      <c r="C759" s="55">
        <f>IF('04_DATA'!A756="","",IF(AND('04_DATA'!G756=1,'04_DATA'!H756=1,'04_DATA'!I756&gt;=3),"eligible","EXCLUDE"))</f>
        <v/>
      </c>
      <c r="D759" s="55">
        <f>IF('04_DATA'!A756="","",37-COUNT('04_DATA'!$K756:$AU756))</f>
        <v/>
      </c>
      <c r="E759" s="63">
        <f>IF('04_DATA'!A756="","",(37-COUNT('04_DATA'!$K756:$AU756))/37)</f>
        <v/>
      </c>
      <c r="F759" s="55">
        <f>IF('04_DATA'!A756="","",IF(AND(COUNT('04_DATA'!$K756:$AU756)=37,COUNTIF('04_DATA'!$K756:$AU756,INDEX('04_DATA'!$K756:$AU756,1))=37),"EXCLUDE","ok"))</f>
        <v/>
      </c>
      <c r="G759" s="55">
        <f>IF('04_DATA'!A756="","",IF('04_DATA'!D756&lt;PERCENTILE('04_DATA'!$D$2:$D$1001,0.05),"FLAG","ok"))</f>
        <v/>
      </c>
      <c r="H759" s="55">
        <f>IF('04_DATA'!A756="","",IF(OR(C759="EXCLUDE",F759="EXCLUDE"),"Exclude under pre-specified rule",IF(E759&gt;0.15,"Exclude: &gt;15% missing",IF(G759="FLAG","Retain; test in robustness battery","Retain"))))</f>
        <v/>
      </c>
    </row>
    <row r="760">
      <c r="A760" s="55" t="n">
        <v>757</v>
      </c>
      <c r="B760" s="55">
        <f>IF('04_DATA'!A757="","",'04_DATA'!A757)</f>
        <v/>
      </c>
      <c r="C760" s="55">
        <f>IF('04_DATA'!A757="","",IF(AND('04_DATA'!G757=1,'04_DATA'!H757=1,'04_DATA'!I757&gt;=3),"eligible","EXCLUDE"))</f>
        <v/>
      </c>
      <c r="D760" s="55">
        <f>IF('04_DATA'!A757="","",37-COUNT('04_DATA'!$K757:$AU757))</f>
        <v/>
      </c>
      <c r="E760" s="63">
        <f>IF('04_DATA'!A757="","",(37-COUNT('04_DATA'!$K757:$AU757))/37)</f>
        <v/>
      </c>
      <c r="F760" s="55">
        <f>IF('04_DATA'!A757="","",IF(AND(COUNT('04_DATA'!$K757:$AU757)=37,COUNTIF('04_DATA'!$K757:$AU757,INDEX('04_DATA'!$K757:$AU757,1))=37),"EXCLUDE","ok"))</f>
        <v/>
      </c>
      <c r="G760" s="55">
        <f>IF('04_DATA'!A757="","",IF('04_DATA'!D757&lt;PERCENTILE('04_DATA'!$D$2:$D$1001,0.05),"FLAG","ok"))</f>
        <v/>
      </c>
      <c r="H760" s="55">
        <f>IF('04_DATA'!A757="","",IF(OR(C760="EXCLUDE",F760="EXCLUDE"),"Exclude under pre-specified rule",IF(E760&gt;0.15,"Exclude: &gt;15% missing",IF(G760="FLAG","Retain; test in robustness battery","Retain"))))</f>
        <v/>
      </c>
    </row>
    <row r="761">
      <c r="A761" s="55" t="n">
        <v>758</v>
      </c>
      <c r="B761" s="55">
        <f>IF('04_DATA'!A758="","",'04_DATA'!A758)</f>
        <v/>
      </c>
      <c r="C761" s="55">
        <f>IF('04_DATA'!A758="","",IF(AND('04_DATA'!G758=1,'04_DATA'!H758=1,'04_DATA'!I758&gt;=3),"eligible","EXCLUDE"))</f>
        <v/>
      </c>
      <c r="D761" s="55">
        <f>IF('04_DATA'!A758="","",37-COUNT('04_DATA'!$K758:$AU758))</f>
        <v/>
      </c>
      <c r="E761" s="63">
        <f>IF('04_DATA'!A758="","",(37-COUNT('04_DATA'!$K758:$AU758))/37)</f>
        <v/>
      </c>
      <c r="F761" s="55">
        <f>IF('04_DATA'!A758="","",IF(AND(COUNT('04_DATA'!$K758:$AU758)=37,COUNTIF('04_DATA'!$K758:$AU758,INDEX('04_DATA'!$K758:$AU758,1))=37),"EXCLUDE","ok"))</f>
        <v/>
      </c>
      <c r="G761" s="55">
        <f>IF('04_DATA'!A758="","",IF('04_DATA'!D758&lt;PERCENTILE('04_DATA'!$D$2:$D$1001,0.05),"FLAG","ok"))</f>
        <v/>
      </c>
      <c r="H761" s="55">
        <f>IF('04_DATA'!A758="","",IF(OR(C761="EXCLUDE",F761="EXCLUDE"),"Exclude under pre-specified rule",IF(E761&gt;0.15,"Exclude: &gt;15% missing",IF(G761="FLAG","Retain; test in robustness battery","Retain"))))</f>
        <v/>
      </c>
    </row>
    <row r="762">
      <c r="A762" s="55" t="n">
        <v>759</v>
      </c>
      <c r="B762" s="55">
        <f>IF('04_DATA'!A759="","",'04_DATA'!A759)</f>
        <v/>
      </c>
      <c r="C762" s="55">
        <f>IF('04_DATA'!A759="","",IF(AND('04_DATA'!G759=1,'04_DATA'!H759=1,'04_DATA'!I759&gt;=3),"eligible","EXCLUDE"))</f>
        <v/>
      </c>
      <c r="D762" s="55">
        <f>IF('04_DATA'!A759="","",37-COUNT('04_DATA'!$K759:$AU759))</f>
        <v/>
      </c>
      <c r="E762" s="63">
        <f>IF('04_DATA'!A759="","",(37-COUNT('04_DATA'!$K759:$AU759))/37)</f>
        <v/>
      </c>
      <c r="F762" s="55">
        <f>IF('04_DATA'!A759="","",IF(AND(COUNT('04_DATA'!$K759:$AU759)=37,COUNTIF('04_DATA'!$K759:$AU759,INDEX('04_DATA'!$K759:$AU759,1))=37),"EXCLUDE","ok"))</f>
        <v/>
      </c>
      <c r="G762" s="55">
        <f>IF('04_DATA'!A759="","",IF('04_DATA'!D759&lt;PERCENTILE('04_DATA'!$D$2:$D$1001,0.05),"FLAG","ok"))</f>
        <v/>
      </c>
      <c r="H762" s="55">
        <f>IF('04_DATA'!A759="","",IF(OR(C762="EXCLUDE",F762="EXCLUDE"),"Exclude under pre-specified rule",IF(E762&gt;0.15,"Exclude: &gt;15% missing",IF(G762="FLAG","Retain; test in robustness battery","Retain"))))</f>
        <v/>
      </c>
    </row>
    <row r="763">
      <c r="A763" s="55" t="n">
        <v>760</v>
      </c>
      <c r="B763" s="55">
        <f>IF('04_DATA'!A760="","",'04_DATA'!A760)</f>
        <v/>
      </c>
      <c r="C763" s="55">
        <f>IF('04_DATA'!A760="","",IF(AND('04_DATA'!G760=1,'04_DATA'!H760=1,'04_DATA'!I760&gt;=3),"eligible","EXCLUDE"))</f>
        <v/>
      </c>
      <c r="D763" s="55">
        <f>IF('04_DATA'!A760="","",37-COUNT('04_DATA'!$K760:$AU760))</f>
        <v/>
      </c>
      <c r="E763" s="63">
        <f>IF('04_DATA'!A760="","",(37-COUNT('04_DATA'!$K760:$AU760))/37)</f>
        <v/>
      </c>
      <c r="F763" s="55">
        <f>IF('04_DATA'!A760="","",IF(AND(COUNT('04_DATA'!$K760:$AU760)=37,COUNTIF('04_DATA'!$K760:$AU760,INDEX('04_DATA'!$K760:$AU760,1))=37),"EXCLUDE","ok"))</f>
        <v/>
      </c>
      <c r="G763" s="55">
        <f>IF('04_DATA'!A760="","",IF('04_DATA'!D760&lt;PERCENTILE('04_DATA'!$D$2:$D$1001,0.05),"FLAG","ok"))</f>
        <v/>
      </c>
      <c r="H763" s="55">
        <f>IF('04_DATA'!A760="","",IF(OR(C763="EXCLUDE",F763="EXCLUDE"),"Exclude under pre-specified rule",IF(E763&gt;0.15,"Exclude: &gt;15% missing",IF(G763="FLAG","Retain; test in robustness battery","Retain"))))</f>
        <v/>
      </c>
    </row>
    <row r="764">
      <c r="A764" s="55" t="n">
        <v>761</v>
      </c>
      <c r="B764" s="55">
        <f>IF('04_DATA'!A761="","",'04_DATA'!A761)</f>
        <v/>
      </c>
      <c r="C764" s="55">
        <f>IF('04_DATA'!A761="","",IF(AND('04_DATA'!G761=1,'04_DATA'!H761=1,'04_DATA'!I761&gt;=3),"eligible","EXCLUDE"))</f>
        <v/>
      </c>
      <c r="D764" s="55">
        <f>IF('04_DATA'!A761="","",37-COUNT('04_DATA'!$K761:$AU761))</f>
        <v/>
      </c>
      <c r="E764" s="63">
        <f>IF('04_DATA'!A761="","",(37-COUNT('04_DATA'!$K761:$AU761))/37)</f>
        <v/>
      </c>
      <c r="F764" s="55">
        <f>IF('04_DATA'!A761="","",IF(AND(COUNT('04_DATA'!$K761:$AU761)=37,COUNTIF('04_DATA'!$K761:$AU761,INDEX('04_DATA'!$K761:$AU761,1))=37),"EXCLUDE","ok"))</f>
        <v/>
      </c>
      <c r="G764" s="55">
        <f>IF('04_DATA'!A761="","",IF('04_DATA'!D761&lt;PERCENTILE('04_DATA'!$D$2:$D$1001,0.05),"FLAG","ok"))</f>
        <v/>
      </c>
      <c r="H764" s="55">
        <f>IF('04_DATA'!A761="","",IF(OR(C764="EXCLUDE",F764="EXCLUDE"),"Exclude under pre-specified rule",IF(E764&gt;0.15,"Exclude: &gt;15% missing",IF(G764="FLAG","Retain; test in robustness battery","Retain"))))</f>
        <v/>
      </c>
    </row>
    <row r="765">
      <c r="A765" s="55" t="n">
        <v>762</v>
      </c>
      <c r="B765" s="55">
        <f>IF('04_DATA'!A762="","",'04_DATA'!A762)</f>
        <v/>
      </c>
      <c r="C765" s="55">
        <f>IF('04_DATA'!A762="","",IF(AND('04_DATA'!G762=1,'04_DATA'!H762=1,'04_DATA'!I762&gt;=3),"eligible","EXCLUDE"))</f>
        <v/>
      </c>
      <c r="D765" s="55">
        <f>IF('04_DATA'!A762="","",37-COUNT('04_DATA'!$K762:$AU762))</f>
        <v/>
      </c>
      <c r="E765" s="63">
        <f>IF('04_DATA'!A762="","",(37-COUNT('04_DATA'!$K762:$AU762))/37)</f>
        <v/>
      </c>
      <c r="F765" s="55">
        <f>IF('04_DATA'!A762="","",IF(AND(COUNT('04_DATA'!$K762:$AU762)=37,COUNTIF('04_DATA'!$K762:$AU762,INDEX('04_DATA'!$K762:$AU762,1))=37),"EXCLUDE","ok"))</f>
        <v/>
      </c>
      <c r="G765" s="55">
        <f>IF('04_DATA'!A762="","",IF('04_DATA'!D762&lt;PERCENTILE('04_DATA'!$D$2:$D$1001,0.05),"FLAG","ok"))</f>
        <v/>
      </c>
      <c r="H765" s="55">
        <f>IF('04_DATA'!A762="","",IF(OR(C765="EXCLUDE",F765="EXCLUDE"),"Exclude under pre-specified rule",IF(E765&gt;0.15,"Exclude: &gt;15% missing",IF(G765="FLAG","Retain; test in robustness battery","Retain"))))</f>
        <v/>
      </c>
    </row>
    <row r="766">
      <c r="A766" s="55" t="n">
        <v>763</v>
      </c>
      <c r="B766" s="55">
        <f>IF('04_DATA'!A763="","",'04_DATA'!A763)</f>
        <v/>
      </c>
      <c r="C766" s="55">
        <f>IF('04_DATA'!A763="","",IF(AND('04_DATA'!G763=1,'04_DATA'!H763=1,'04_DATA'!I763&gt;=3),"eligible","EXCLUDE"))</f>
        <v/>
      </c>
      <c r="D766" s="55">
        <f>IF('04_DATA'!A763="","",37-COUNT('04_DATA'!$K763:$AU763))</f>
        <v/>
      </c>
      <c r="E766" s="63">
        <f>IF('04_DATA'!A763="","",(37-COUNT('04_DATA'!$K763:$AU763))/37)</f>
        <v/>
      </c>
      <c r="F766" s="55">
        <f>IF('04_DATA'!A763="","",IF(AND(COUNT('04_DATA'!$K763:$AU763)=37,COUNTIF('04_DATA'!$K763:$AU763,INDEX('04_DATA'!$K763:$AU763,1))=37),"EXCLUDE","ok"))</f>
        <v/>
      </c>
      <c r="G766" s="55">
        <f>IF('04_DATA'!A763="","",IF('04_DATA'!D763&lt;PERCENTILE('04_DATA'!$D$2:$D$1001,0.05),"FLAG","ok"))</f>
        <v/>
      </c>
      <c r="H766" s="55">
        <f>IF('04_DATA'!A763="","",IF(OR(C766="EXCLUDE",F766="EXCLUDE"),"Exclude under pre-specified rule",IF(E766&gt;0.15,"Exclude: &gt;15% missing",IF(G766="FLAG","Retain; test in robustness battery","Retain"))))</f>
        <v/>
      </c>
    </row>
    <row r="767">
      <c r="A767" s="55" t="n">
        <v>764</v>
      </c>
      <c r="B767" s="55">
        <f>IF('04_DATA'!A764="","",'04_DATA'!A764)</f>
        <v/>
      </c>
      <c r="C767" s="55">
        <f>IF('04_DATA'!A764="","",IF(AND('04_DATA'!G764=1,'04_DATA'!H764=1,'04_DATA'!I764&gt;=3),"eligible","EXCLUDE"))</f>
        <v/>
      </c>
      <c r="D767" s="55">
        <f>IF('04_DATA'!A764="","",37-COUNT('04_DATA'!$K764:$AU764))</f>
        <v/>
      </c>
      <c r="E767" s="63">
        <f>IF('04_DATA'!A764="","",(37-COUNT('04_DATA'!$K764:$AU764))/37)</f>
        <v/>
      </c>
      <c r="F767" s="55">
        <f>IF('04_DATA'!A764="","",IF(AND(COUNT('04_DATA'!$K764:$AU764)=37,COUNTIF('04_DATA'!$K764:$AU764,INDEX('04_DATA'!$K764:$AU764,1))=37),"EXCLUDE","ok"))</f>
        <v/>
      </c>
      <c r="G767" s="55">
        <f>IF('04_DATA'!A764="","",IF('04_DATA'!D764&lt;PERCENTILE('04_DATA'!$D$2:$D$1001,0.05),"FLAG","ok"))</f>
        <v/>
      </c>
      <c r="H767" s="55">
        <f>IF('04_DATA'!A764="","",IF(OR(C767="EXCLUDE",F767="EXCLUDE"),"Exclude under pre-specified rule",IF(E767&gt;0.15,"Exclude: &gt;15% missing",IF(G767="FLAG","Retain; test in robustness battery","Retain"))))</f>
        <v/>
      </c>
    </row>
    <row r="768">
      <c r="A768" s="55" t="n">
        <v>765</v>
      </c>
      <c r="B768" s="55">
        <f>IF('04_DATA'!A765="","",'04_DATA'!A765)</f>
        <v/>
      </c>
      <c r="C768" s="55">
        <f>IF('04_DATA'!A765="","",IF(AND('04_DATA'!G765=1,'04_DATA'!H765=1,'04_DATA'!I765&gt;=3),"eligible","EXCLUDE"))</f>
        <v/>
      </c>
      <c r="D768" s="55">
        <f>IF('04_DATA'!A765="","",37-COUNT('04_DATA'!$K765:$AU765))</f>
        <v/>
      </c>
      <c r="E768" s="63">
        <f>IF('04_DATA'!A765="","",(37-COUNT('04_DATA'!$K765:$AU765))/37)</f>
        <v/>
      </c>
      <c r="F768" s="55">
        <f>IF('04_DATA'!A765="","",IF(AND(COUNT('04_DATA'!$K765:$AU765)=37,COUNTIF('04_DATA'!$K765:$AU765,INDEX('04_DATA'!$K765:$AU765,1))=37),"EXCLUDE","ok"))</f>
        <v/>
      </c>
      <c r="G768" s="55">
        <f>IF('04_DATA'!A765="","",IF('04_DATA'!D765&lt;PERCENTILE('04_DATA'!$D$2:$D$1001,0.05),"FLAG","ok"))</f>
        <v/>
      </c>
      <c r="H768" s="55">
        <f>IF('04_DATA'!A765="","",IF(OR(C768="EXCLUDE",F768="EXCLUDE"),"Exclude under pre-specified rule",IF(E768&gt;0.15,"Exclude: &gt;15% missing",IF(G768="FLAG","Retain; test in robustness battery","Retain"))))</f>
        <v/>
      </c>
    </row>
    <row r="769">
      <c r="A769" s="55" t="n">
        <v>766</v>
      </c>
      <c r="B769" s="55">
        <f>IF('04_DATA'!A766="","",'04_DATA'!A766)</f>
        <v/>
      </c>
      <c r="C769" s="55">
        <f>IF('04_DATA'!A766="","",IF(AND('04_DATA'!G766=1,'04_DATA'!H766=1,'04_DATA'!I766&gt;=3),"eligible","EXCLUDE"))</f>
        <v/>
      </c>
      <c r="D769" s="55">
        <f>IF('04_DATA'!A766="","",37-COUNT('04_DATA'!$K766:$AU766))</f>
        <v/>
      </c>
      <c r="E769" s="63">
        <f>IF('04_DATA'!A766="","",(37-COUNT('04_DATA'!$K766:$AU766))/37)</f>
        <v/>
      </c>
      <c r="F769" s="55">
        <f>IF('04_DATA'!A766="","",IF(AND(COUNT('04_DATA'!$K766:$AU766)=37,COUNTIF('04_DATA'!$K766:$AU766,INDEX('04_DATA'!$K766:$AU766,1))=37),"EXCLUDE","ok"))</f>
        <v/>
      </c>
      <c r="G769" s="55">
        <f>IF('04_DATA'!A766="","",IF('04_DATA'!D766&lt;PERCENTILE('04_DATA'!$D$2:$D$1001,0.05),"FLAG","ok"))</f>
        <v/>
      </c>
      <c r="H769" s="55">
        <f>IF('04_DATA'!A766="","",IF(OR(C769="EXCLUDE",F769="EXCLUDE"),"Exclude under pre-specified rule",IF(E769&gt;0.15,"Exclude: &gt;15% missing",IF(G769="FLAG","Retain; test in robustness battery","Retain"))))</f>
        <v/>
      </c>
    </row>
    <row r="770">
      <c r="A770" s="55" t="n">
        <v>767</v>
      </c>
      <c r="B770" s="55">
        <f>IF('04_DATA'!A767="","",'04_DATA'!A767)</f>
        <v/>
      </c>
      <c r="C770" s="55">
        <f>IF('04_DATA'!A767="","",IF(AND('04_DATA'!G767=1,'04_DATA'!H767=1,'04_DATA'!I767&gt;=3),"eligible","EXCLUDE"))</f>
        <v/>
      </c>
      <c r="D770" s="55">
        <f>IF('04_DATA'!A767="","",37-COUNT('04_DATA'!$K767:$AU767))</f>
        <v/>
      </c>
      <c r="E770" s="63">
        <f>IF('04_DATA'!A767="","",(37-COUNT('04_DATA'!$K767:$AU767))/37)</f>
        <v/>
      </c>
      <c r="F770" s="55">
        <f>IF('04_DATA'!A767="","",IF(AND(COUNT('04_DATA'!$K767:$AU767)=37,COUNTIF('04_DATA'!$K767:$AU767,INDEX('04_DATA'!$K767:$AU767,1))=37),"EXCLUDE","ok"))</f>
        <v/>
      </c>
      <c r="G770" s="55">
        <f>IF('04_DATA'!A767="","",IF('04_DATA'!D767&lt;PERCENTILE('04_DATA'!$D$2:$D$1001,0.05),"FLAG","ok"))</f>
        <v/>
      </c>
      <c r="H770" s="55">
        <f>IF('04_DATA'!A767="","",IF(OR(C770="EXCLUDE",F770="EXCLUDE"),"Exclude under pre-specified rule",IF(E770&gt;0.15,"Exclude: &gt;15% missing",IF(G770="FLAG","Retain; test in robustness battery","Retain"))))</f>
        <v/>
      </c>
    </row>
    <row r="771">
      <c r="A771" s="55" t="n">
        <v>768</v>
      </c>
      <c r="B771" s="55">
        <f>IF('04_DATA'!A768="","",'04_DATA'!A768)</f>
        <v/>
      </c>
      <c r="C771" s="55">
        <f>IF('04_DATA'!A768="","",IF(AND('04_DATA'!G768=1,'04_DATA'!H768=1,'04_DATA'!I768&gt;=3),"eligible","EXCLUDE"))</f>
        <v/>
      </c>
      <c r="D771" s="55">
        <f>IF('04_DATA'!A768="","",37-COUNT('04_DATA'!$K768:$AU768))</f>
        <v/>
      </c>
      <c r="E771" s="63">
        <f>IF('04_DATA'!A768="","",(37-COUNT('04_DATA'!$K768:$AU768))/37)</f>
        <v/>
      </c>
      <c r="F771" s="55">
        <f>IF('04_DATA'!A768="","",IF(AND(COUNT('04_DATA'!$K768:$AU768)=37,COUNTIF('04_DATA'!$K768:$AU768,INDEX('04_DATA'!$K768:$AU768,1))=37),"EXCLUDE","ok"))</f>
        <v/>
      </c>
      <c r="G771" s="55">
        <f>IF('04_DATA'!A768="","",IF('04_DATA'!D768&lt;PERCENTILE('04_DATA'!$D$2:$D$1001,0.05),"FLAG","ok"))</f>
        <v/>
      </c>
      <c r="H771" s="55">
        <f>IF('04_DATA'!A768="","",IF(OR(C771="EXCLUDE",F771="EXCLUDE"),"Exclude under pre-specified rule",IF(E771&gt;0.15,"Exclude: &gt;15% missing",IF(G771="FLAG","Retain; test in robustness battery","Retain"))))</f>
        <v/>
      </c>
    </row>
    <row r="772">
      <c r="A772" s="55" t="n">
        <v>769</v>
      </c>
      <c r="B772" s="55">
        <f>IF('04_DATA'!A769="","",'04_DATA'!A769)</f>
        <v/>
      </c>
      <c r="C772" s="55">
        <f>IF('04_DATA'!A769="","",IF(AND('04_DATA'!G769=1,'04_DATA'!H769=1,'04_DATA'!I769&gt;=3),"eligible","EXCLUDE"))</f>
        <v/>
      </c>
      <c r="D772" s="55">
        <f>IF('04_DATA'!A769="","",37-COUNT('04_DATA'!$K769:$AU769))</f>
        <v/>
      </c>
      <c r="E772" s="63">
        <f>IF('04_DATA'!A769="","",(37-COUNT('04_DATA'!$K769:$AU769))/37)</f>
        <v/>
      </c>
      <c r="F772" s="55">
        <f>IF('04_DATA'!A769="","",IF(AND(COUNT('04_DATA'!$K769:$AU769)=37,COUNTIF('04_DATA'!$K769:$AU769,INDEX('04_DATA'!$K769:$AU769,1))=37),"EXCLUDE","ok"))</f>
        <v/>
      </c>
      <c r="G772" s="55">
        <f>IF('04_DATA'!A769="","",IF('04_DATA'!D769&lt;PERCENTILE('04_DATA'!$D$2:$D$1001,0.05),"FLAG","ok"))</f>
        <v/>
      </c>
      <c r="H772" s="55">
        <f>IF('04_DATA'!A769="","",IF(OR(C772="EXCLUDE",F772="EXCLUDE"),"Exclude under pre-specified rule",IF(E772&gt;0.15,"Exclude: &gt;15% missing",IF(G772="FLAG","Retain; test in robustness battery","Retain"))))</f>
        <v/>
      </c>
    </row>
    <row r="773">
      <c r="A773" s="55" t="n">
        <v>770</v>
      </c>
      <c r="B773" s="55">
        <f>IF('04_DATA'!A770="","",'04_DATA'!A770)</f>
        <v/>
      </c>
      <c r="C773" s="55">
        <f>IF('04_DATA'!A770="","",IF(AND('04_DATA'!G770=1,'04_DATA'!H770=1,'04_DATA'!I770&gt;=3),"eligible","EXCLUDE"))</f>
        <v/>
      </c>
      <c r="D773" s="55">
        <f>IF('04_DATA'!A770="","",37-COUNT('04_DATA'!$K770:$AU770))</f>
        <v/>
      </c>
      <c r="E773" s="63">
        <f>IF('04_DATA'!A770="","",(37-COUNT('04_DATA'!$K770:$AU770))/37)</f>
        <v/>
      </c>
      <c r="F773" s="55">
        <f>IF('04_DATA'!A770="","",IF(AND(COUNT('04_DATA'!$K770:$AU770)=37,COUNTIF('04_DATA'!$K770:$AU770,INDEX('04_DATA'!$K770:$AU770,1))=37),"EXCLUDE","ok"))</f>
        <v/>
      </c>
      <c r="G773" s="55">
        <f>IF('04_DATA'!A770="","",IF('04_DATA'!D770&lt;PERCENTILE('04_DATA'!$D$2:$D$1001,0.05),"FLAG","ok"))</f>
        <v/>
      </c>
      <c r="H773" s="55">
        <f>IF('04_DATA'!A770="","",IF(OR(C773="EXCLUDE",F773="EXCLUDE"),"Exclude under pre-specified rule",IF(E773&gt;0.15,"Exclude: &gt;15% missing",IF(G773="FLAG","Retain; test in robustness battery","Retain"))))</f>
        <v/>
      </c>
    </row>
    <row r="774">
      <c r="A774" s="55" t="n">
        <v>771</v>
      </c>
      <c r="B774" s="55">
        <f>IF('04_DATA'!A771="","",'04_DATA'!A771)</f>
        <v/>
      </c>
      <c r="C774" s="55">
        <f>IF('04_DATA'!A771="","",IF(AND('04_DATA'!G771=1,'04_DATA'!H771=1,'04_DATA'!I771&gt;=3),"eligible","EXCLUDE"))</f>
        <v/>
      </c>
      <c r="D774" s="55">
        <f>IF('04_DATA'!A771="","",37-COUNT('04_DATA'!$K771:$AU771))</f>
        <v/>
      </c>
      <c r="E774" s="63">
        <f>IF('04_DATA'!A771="","",(37-COUNT('04_DATA'!$K771:$AU771))/37)</f>
        <v/>
      </c>
      <c r="F774" s="55">
        <f>IF('04_DATA'!A771="","",IF(AND(COUNT('04_DATA'!$K771:$AU771)=37,COUNTIF('04_DATA'!$K771:$AU771,INDEX('04_DATA'!$K771:$AU771,1))=37),"EXCLUDE","ok"))</f>
        <v/>
      </c>
      <c r="G774" s="55">
        <f>IF('04_DATA'!A771="","",IF('04_DATA'!D771&lt;PERCENTILE('04_DATA'!$D$2:$D$1001,0.05),"FLAG","ok"))</f>
        <v/>
      </c>
      <c r="H774" s="55">
        <f>IF('04_DATA'!A771="","",IF(OR(C774="EXCLUDE",F774="EXCLUDE"),"Exclude under pre-specified rule",IF(E774&gt;0.15,"Exclude: &gt;15% missing",IF(G774="FLAG","Retain; test in robustness battery","Retain"))))</f>
        <v/>
      </c>
    </row>
    <row r="775">
      <c r="A775" s="55" t="n">
        <v>772</v>
      </c>
      <c r="B775" s="55">
        <f>IF('04_DATA'!A772="","",'04_DATA'!A772)</f>
        <v/>
      </c>
      <c r="C775" s="55">
        <f>IF('04_DATA'!A772="","",IF(AND('04_DATA'!G772=1,'04_DATA'!H772=1,'04_DATA'!I772&gt;=3),"eligible","EXCLUDE"))</f>
        <v/>
      </c>
      <c r="D775" s="55">
        <f>IF('04_DATA'!A772="","",37-COUNT('04_DATA'!$K772:$AU772))</f>
        <v/>
      </c>
      <c r="E775" s="63">
        <f>IF('04_DATA'!A772="","",(37-COUNT('04_DATA'!$K772:$AU772))/37)</f>
        <v/>
      </c>
      <c r="F775" s="55">
        <f>IF('04_DATA'!A772="","",IF(AND(COUNT('04_DATA'!$K772:$AU772)=37,COUNTIF('04_DATA'!$K772:$AU772,INDEX('04_DATA'!$K772:$AU772,1))=37),"EXCLUDE","ok"))</f>
        <v/>
      </c>
      <c r="G775" s="55">
        <f>IF('04_DATA'!A772="","",IF('04_DATA'!D772&lt;PERCENTILE('04_DATA'!$D$2:$D$1001,0.05),"FLAG","ok"))</f>
        <v/>
      </c>
      <c r="H775" s="55">
        <f>IF('04_DATA'!A772="","",IF(OR(C775="EXCLUDE",F775="EXCLUDE"),"Exclude under pre-specified rule",IF(E775&gt;0.15,"Exclude: &gt;15% missing",IF(G775="FLAG","Retain; test in robustness battery","Retain"))))</f>
        <v/>
      </c>
    </row>
    <row r="776">
      <c r="A776" s="55" t="n">
        <v>773</v>
      </c>
      <c r="B776" s="55">
        <f>IF('04_DATA'!A773="","",'04_DATA'!A773)</f>
        <v/>
      </c>
      <c r="C776" s="55">
        <f>IF('04_DATA'!A773="","",IF(AND('04_DATA'!G773=1,'04_DATA'!H773=1,'04_DATA'!I773&gt;=3),"eligible","EXCLUDE"))</f>
        <v/>
      </c>
      <c r="D776" s="55">
        <f>IF('04_DATA'!A773="","",37-COUNT('04_DATA'!$K773:$AU773))</f>
        <v/>
      </c>
      <c r="E776" s="63">
        <f>IF('04_DATA'!A773="","",(37-COUNT('04_DATA'!$K773:$AU773))/37)</f>
        <v/>
      </c>
      <c r="F776" s="55">
        <f>IF('04_DATA'!A773="","",IF(AND(COUNT('04_DATA'!$K773:$AU773)=37,COUNTIF('04_DATA'!$K773:$AU773,INDEX('04_DATA'!$K773:$AU773,1))=37),"EXCLUDE","ok"))</f>
        <v/>
      </c>
      <c r="G776" s="55">
        <f>IF('04_DATA'!A773="","",IF('04_DATA'!D773&lt;PERCENTILE('04_DATA'!$D$2:$D$1001,0.05),"FLAG","ok"))</f>
        <v/>
      </c>
      <c r="H776" s="55">
        <f>IF('04_DATA'!A773="","",IF(OR(C776="EXCLUDE",F776="EXCLUDE"),"Exclude under pre-specified rule",IF(E776&gt;0.15,"Exclude: &gt;15% missing",IF(G776="FLAG","Retain; test in robustness battery","Retain"))))</f>
        <v/>
      </c>
    </row>
    <row r="777">
      <c r="A777" s="55" t="n">
        <v>774</v>
      </c>
      <c r="B777" s="55">
        <f>IF('04_DATA'!A774="","",'04_DATA'!A774)</f>
        <v/>
      </c>
      <c r="C777" s="55">
        <f>IF('04_DATA'!A774="","",IF(AND('04_DATA'!G774=1,'04_DATA'!H774=1,'04_DATA'!I774&gt;=3),"eligible","EXCLUDE"))</f>
        <v/>
      </c>
      <c r="D777" s="55">
        <f>IF('04_DATA'!A774="","",37-COUNT('04_DATA'!$K774:$AU774))</f>
        <v/>
      </c>
      <c r="E777" s="63">
        <f>IF('04_DATA'!A774="","",(37-COUNT('04_DATA'!$K774:$AU774))/37)</f>
        <v/>
      </c>
      <c r="F777" s="55">
        <f>IF('04_DATA'!A774="","",IF(AND(COUNT('04_DATA'!$K774:$AU774)=37,COUNTIF('04_DATA'!$K774:$AU774,INDEX('04_DATA'!$K774:$AU774,1))=37),"EXCLUDE","ok"))</f>
        <v/>
      </c>
      <c r="G777" s="55">
        <f>IF('04_DATA'!A774="","",IF('04_DATA'!D774&lt;PERCENTILE('04_DATA'!$D$2:$D$1001,0.05),"FLAG","ok"))</f>
        <v/>
      </c>
      <c r="H777" s="55">
        <f>IF('04_DATA'!A774="","",IF(OR(C777="EXCLUDE",F777="EXCLUDE"),"Exclude under pre-specified rule",IF(E777&gt;0.15,"Exclude: &gt;15% missing",IF(G777="FLAG","Retain; test in robustness battery","Retain"))))</f>
        <v/>
      </c>
    </row>
    <row r="778">
      <c r="A778" s="55" t="n">
        <v>775</v>
      </c>
      <c r="B778" s="55">
        <f>IF('04_DATA'!A775="","",'04_DATA'!A775)</f>
        <v/>
      </c>
      <c r="C778" s="55">
        <f>IF('04_DATA'!A775="","",IF(AND('04_DATA'!G775=1,'04_DATA'!H775=1,'04_DATA'!I775&gt;=3),"eligible","EXCLUDE"))</f>
        <v/>
      </c>
      <c r="D778" s="55">
        <f>IF('04_DATA'!A775="","",37-COUNT('04_DATA'!$K775:$AU775))</f>
        <v/>
      </c>
      <c r="E778" s="63">
        <f>IF('04_DATA'!A775="","",(37-COUNT('04_DATA'!$K775:$AU775))/37)</f>
        <v/>
      </c>
      <c r="F778" s="55">
        <f>IF('04_DATA'!A775="","",IF(AND(COUNT('04_DATA'!$K775:$AU775)=37,COUNTIF('04_DATA'!$K775:$AU775,INDEX('04_DATA'!$K775:$AU775,1))=37),"EXCLUDE","ok"))</f>
        <v/>
      </c>
      <c r="G778" s="55">
        <f>IF('04_DATA'!A775="","",IF('04_DATA'!D775&lt;PERCENTILE('04_DATA'!$D$2:$D$1001,0.05),"FLAG","ok"))</f>
        <v/>
      </c>
      <c r="H778" s="55">
        <f>IF('04_DATA'!A775="","",IF(OR(C778="EXCLUDE",F778="EXCLUDE"),"Exclude under pre-specified rule",IF(E778&gt;0.15,"Exclude: &gt;15% missing",IF(G778="FLAG","Retain; test in robustness battery","Retain"))))</f>
        <v/>
      </c>
    </row>
    <row r="779">
      <c r="A779" s="55" t="n">
        <v>776</v>
      </c>
      <c r="B779" s="55">
        <f>IF('04_DATA'!A776="","",'04_DATA'!A776)</f>
        <v/>
      </c>
      <c r="C779" s="55">
        <f>IF('04_DATA'!A776="","",IF(AND('04_DATA'!G776=1,'04_DATA'!H776=1,'04_DATA'!I776&gt;=3),"eligible","EXCLUDE"))</f>
        <v/>
      </c>
      <c r="D779" s="55">
        <f>IF('04_DATA'!A776="","",37-COUNT('04_DATA'!$K776:$AU776))</f>
        <v/>
      </c>
      <c r="E779" s="63">
        <f>IF('04_DATA'!A776="","",(37-COUNT('04_DATA'!$K776:$AU776))/37)</f>
        <v/>
      </c>
      <c r="F779" s="55">
        <f>IF('04_DATA'!A776="","",IF(AND(COUNT('04_DATA'!$K776:$AU776)=37,COUNTIF('04_DATA'!$K776:$AU776,INDEX('04_DATA'!$K776:$AU776,1))=37),"EXCLUDE","ok"))</f>
        <v/>
      </c>
      <c r="G779" s="55">
        <f>IF('04_DATA'!A776="","",IF('04_DATA'!D776&lt;PERCENTILE('04_DATA'!$D$2:$D$1001,0.05),"FLAG","ok"))</f>
        <v/>
      </c>
      <c r="H779" s="55">
        <f>IF('04_DATA'!A776="","",IF(OR(C779="EXCLUDE",F779="EXCLUDE"),"Exclude under pre-specified rule",IF(E779&gt;0.15,"Exclude: &gt;15% missing",IF(G779="FLAG","Retain; test in robustness battery","Retain"))))</f>
        <v/>
      </c>
    </row>
    <row r="780">
      <c r="A780" s="55" t="n">
        <v>777</v>
      </c>
      <c r="B780" s="55">
        <f>IF('04_DATA'!A777="","",'04_DATA'!A777)</f>
        <v/>
      </c>
      <c r="C780" s="55">
        <f>IF('04_DATA'!A777="","",IF(AND('04_DATA'!G777=1,'04_DATA'!H777=1,'04_DATA'!I777&gt;=3),"eligible","EXCLUDE"))</f>
        <v/>
      </c>
      <c r="D780" s="55">
        <f>IF('04_DATA'!A777="","",37-COUNT('04_DATA'!$K777:$AU777))</f>
        <v/>
      </c>
      <c r="E780" s="63">
        <f>IF('04_DATA'!A777="","",(37-COUNT('04_DATA'!$K777:$AU777))/37)</f>
        <v/>
      </c>
      <c r="F780" s="55">
        <f>IF('04_DATA'!A777="","",IF(AND(COUNT('04_DATA'!$K777:$AU777)=37,COUNTIF('04_DATA'!$K777:$AU777,INDEX('04_DATA'!$K777:$AU777,1))=37),"EXCLUDE","ok"))</f>
        <v/>
      </c>
      <c r="G780" s="55">
        <f>IF('04_DATA'!A777="","",IF('04_DATA'!D777&lt;PERCENTILE('04_DATA'!$D$2:$D$1001,0.05),"FLAG","ok"))</f>
        <v/>
      </c>
      <c r="H780" s="55">
        <f>IF('04_DATA'!A777="","",IF(OR(C780="EXCLUDE",F780="EXCLUDE"),"Exclude under pre-specified rule",IF(E780&gt;0.15,"Exclude: &gt;15% missing",IF(G780="FLAG","Retain; test in robustness battery","Retain"))))</f>
        <v/>
      </c>
    </row>
    <row r="781">
      <c r="A781" s="55" t="n">
        <v>778</v>
      </c>
      <c r="B781" s="55">
        <f>IF('04_DATA'!A778="","",'04_DATA'!A778)</f>
        <v/>
      </c>
      <c r="C781" s="55">
        <f>IF('04_DATA'!A778="","",IF(AND('04_DATA'!G778=1,'04_DATA'!H778=1,'04_DATA'!I778&gt;=3),"eligible","EXCLUDE"))</f>
        <v/>
      </c>
      <c r="D781" s="55">
        <f>IF('04_DATA'!A778="","",37-COUNT('04_DATA'!$K778:$AU778))</f>
        <v/>
      </c>
      <c r="E781" s="63">
        <f>IF('04_DATA'!A778="","",(37-COUNT('04_DATA'!$K778:$AU778))/37)</f>
        <v/>
      </c>
      <c r="F781" s="55">
        <f>IF('04_DATA'!A778="","",IF(AND(COUNT('04_DATA'!$K778:$AU778)=37,COUNTIF('04_DATA'!$K778:$AU778,INDEX('04_DATA'!$K778:$AU778,1))=37),"EXCLUDE","ok"))</f>
        <v/>
      </c>
      <c r="G781" s="55">
        <f>IF('04_DATA'!A778="","",IF('04_DATA'!D778&lt;PERCENTILE('04_DATA'!$D$2:$D$1001,0.05),"FLAG","ok"))</f>
        <v/>
      </c>
      <c r="H781" s="55">
        <f>IF('04_DATA'!A778="","",IF(OR(C781="EXCLUDE",F781="EXCLUDE"),"Exclude under pre-specified rule",IF(E781&gt;0.15,"Exclude: &gt;15% missing",IF(G781="FLAG","Retain; test in robustness battery","Retain"))))</f>
        <v/>
      </c>
    </row>
    <row r="782">
      <c r="A782" s="55" t="n">
        <v>779</v>
      </c>
      <c r="B782" s="55">
        <f>IF('04_DATA'!A779="","",'04_DATA'!A779)</f>
        <v/>
      </c>
      <c r="C782" s="55">
        <f>IF('04_DATA'!A779="","",IF(AND('04_DATA'!G779=1,'04_DATA'!H779=1,'04_DATA'!I779&gt;=3),"eligible","EXCLUDE"))</f>
        <v/>
      </c>
      <c r="D782" s="55">
        <f>IF('04_DATA'!A779="","",37-COUNT('04_DATA'!$K779:$AU779))</f>
        <v/>
      </c>
      <c r="E782" s="63">
        <f>IF('04_DATA'!A779="","",(37-COUNT('04_DATA'!$K779:$AU779))/37)</f>
        <v/>
      </c>
      <c r="F782" s="55">
        <f>IF('04_DATA'!A779="","",IF(AND(COUNT('04_DATA'!$K779:$AU779)=37,COUNTIF('04_DATA'!$K779:$AU779,INDEX('04_DATA'!$K779:$AU779,1))=37),"EXCLUDE","ok"))</f>
        <v/>
      </c>
      <c r="G782" s="55">
        <f>IF('04_DATA'!A779="","",IF('04_DATA'!D779&lt;PERCENTILE('04_DATA'!$D$2:$D$1001,0.05),"FLAG","ok"))</f>
        <v/>
      </c>
      <c r="H782" s="55">
        <f>IF('04_DATA'!A779="","",IF(OR(C782="EXCLUDE",F782="EXCLUDE"),"Exclude under pre-specified rule",IF(E782&gt;0.15,"Exclude: &gt;15% missing",IF(G782="FLAG","Retain; test in robustness battery","Retain"))))</f>
        <v/>
      </c>
    </row>
    <row r="783">
      <c r="A783" s="55" t="n">
        <v>780</v>
      </c>
      <c r="B783" s="55">
        <f>IF('04_DATA'!A780="","",'04_DATA'!A780)</f>
        <v/>
      </c>
      <c r="C783" s="55">
        <f>IF('04_DATA'!A780="","",IF(AND('04_DATA'!G780=1,'04_DATA'!H780=1,'04_DATA'!I780&gt;=3),"eligible","EXCLUDE"))</f>
        <v/>
      </c>
      <c r="D783" s="55">
        <f>IF('04_DATA'!A780="","",37-COUNT('04_DATA'!$K780:$AU780))</f>
        <v/>
      </c>
      <c r="E783" s="63">
        <f>IF('04_DATA'!A780="","",(37-COUNT('04_DATA'!$K780:$AU780))/37)</f>
        <v/>
      </c>
      <c r="F783" s="55">
        <f>IF('04_DATA'!A780="","",IF(AND(COUNT('04_DATA'!$K780:$AU780)=37,COUNTIF('04_DATA'!$K780:$AU780,INDEX('04_DATA'!$K780:$AU780,1))=37),"EXCLUDE","ok"))</f>
        <v/>
      </c>
      <c r="G783" s="55">
        <f>IF('04_DATA'!A780="","",IF('04_DATA'!D780&lt;PERCENTILE('04_DATA'!$D$2:$D$1001,0.05),"FLAG","ok"))</f>
        <v/>
      </c>
      <c r="H783" s="55">
        <f>IF('04_DATA'!A780="","",IF(OR(C783="EXCLUDE",F783="EXCLUDE"),"Exclude under pre-specified rule",IF(E783&gt;0.15,"Exclude: &gt;15% missing",IF(G783="FLAG","Retain; test in robustness battery","Retain"))))</f>
        <v/>
      </c>
    </row>
    <row r="784">
      <c r="A784" s="55" t="n">
        <v>781</v>
      </c>
      <c r="B784" s="55">
        <f>IF('04_DATA'!A781="","",'04_DATA'!A781)</f>
        <v/>
      </c>
      <c r="C784" s="55">
        <f>IF('04_DATA'!A781="","",IF(AND('04_DATA'!G781=1,'04_DATA'!H781=1,'04_DATA'!I781&gt;=3),"eligible","EXCLUDE"))</f>
        <v/>
      </c>
      <c r="D784" s="55">
        <f>IF('04_DATA'!A781="","",37-COUNT('04_DATA'!$K781:$AU781))</f>
        <v/>
      </c>
      <c r="E784" s="63">
        <f>IF('04_DATA'!A781="","",(37-COUNT('04_DATA'!$K781:$AU781))/37)</f>
        <v/>
      </c>
      <c r="F784" s="55">
        <f>IF('04_DATA'!A781="","",IF(AND(COUNT('04_DATA'!$K781:$AU781)=37,COUNTIF('04_DATA'!$K781:$AU781,INDEX('04_DATA'!$K781:$AU781,1))=37),"EXCLUDE","ok"))</f>
        <v/>
      </c>
      <c r="G784" s="55">
        <f>IF('04_DATA'!A781="","",IF('04_DATA'!D781&lt;PERCENTILE('04_DATA'!$D$2:$D$1001,0.05),"FLAG","ok"))</f>
        <v/>
      </c>
      <c r="H784" s="55">
        <f>IF('04_DATA'!A781="","",IF(OR(C784="EXCLUDE",F784="EXCLUDE"),"Exclude under pre-specified rule",IF(E784&gt;0.15,"Exclude: &gt;15% missing",IF(G784="FLAG","Retain; test in robustness battery","Retain"))))</f>
        <v/>
      </c>
    </row>
    <row r="785">
      <c r="A785" s="55" t="n">
        <v>782</v>
      </c>
      <c r="B785" s="55">
        <f>IF('04_DATA'!A782="","",'04_DATA'!A782)</f>
        <v/>
      </c>
      <c r="C785" s="55">
        <f>IF('04_DATA'!A782="","",IF(AND('04_DATA'!G782=1,'04_DATA'!H782=1,'04_DATA'!I782&gt;=3),"eligible","EXCLUDE"))</f>
        <v/>
      </c>
      <c r="D785" s="55">
        <f>IF('04_DATA'!A782="","",37-COUNT('04_DATA'!$K782:$AU782))</f>
        <v/>
      </c>
      <c r="E785" s="63">
        <f>IF('04_DATA'!A782="","",(37-COUNT('04_DATA'!$K782:$AU782))/37)</f>
        <v/>
      </c>
      <c r="F785" s="55">
        <f>IF('04_DATA'!A782="","",IF(AND(COUNT('04_DATA'!$K782:$AU782)=37,COUNTIF('04_DATA'!$K782:$AU782,INDEX('04_DATA'!$K782:$AU782,1))=37),"EXCLUDE","ok"))</f>
        <v/>
      </c>
      <c r="G785" s="55">
        <f>IF('04_DATA'!A782="","",IF('04_DATA'!D782&lt;PERCENTILE('04_DATA'!$D$2:$D$1001,0.05),"FLAG","ok"))</f>
        <v/>
      </c>
      <c r="H785" s="55">
        <f>IF('04_DATA'!A782="","",IF(OR(C785="EXCLUDE",F785="EXCLUDE"),"Exclude under pre-specified rule",IF(E785&gt;0.15,"Exclude: &gt;15% missing",IF(G785="FLAG","Retain; test in robustness battery","Retain"))))</f>
        <v/>
      </c>
    </row>
    <row r="786">
      <c r="A786" s="55" t="n">
        <v>783</v>
      </c>
      <c r="B786" s="55">
        <f>IF('04_DATA'!A783="","",'04_DATA'!A783)</f>
        <v/>
      </c>
      <c r="C786" s="55">
        <f>IF('04_DATA'!A783="","",IF(AND('04_DATA'!G783=1,'04_DATA'!H783=1,'04_DATA'!I783&gt;=3),"eligible","EXCLUDE"))</f>
        <v/>
      </c>
      <c r="D786" s="55">
        <f>IF('04_DATA'!A783="","",37-COUNT('04_DATA'!$K783:$AU783))</f>
        <v/>
      </c>
      <c r="E786" s="63">
        <f>IF('04_DATA'!A783="","",(37-COUNT('04_DATA'!$K783:$AU783))/37)</f>
        <v/>
      </c>
      <c r="F786" s="55">
        <f>IF('04_DATA'!A783="","",IF(AND(COUNT('04_DATA'!$K783:$AU783)=37,COUNTIF('04_DATA'!$K783:$AU783,INDEX('04_DATA'!$K783:$AU783,1))=37),"EXCLUDE","ok"))</f>
        <v/>
      </c>
      <c r="G786" s="55">
        <f>IF('04_DATA'!A783="","",IF('04_DATA'!D783&lt;PERCENTILE('04_DATA'!$D$2:$D$1001,0.05),"FLAG","ok"))</f>
        <v/>
      </c>
      <c r="H786" s="55">
        <f>IF('04_DATA'!A783="","",IF(OR(C786="EXCLUDE",F786="EXCLUDE"),"Exclude under pre-specified rule",IF(E786&gt;0.15,"Exclude: &gt;15% missing",IF(G786="FLAG","Retain; test in robustness battery","Retain"))))</f>
        <v/>
      </c>
    </row>
    <row r="787">
      <c r="A787" s="55" t="n">
        <v>784</v>
      </c>
      <c r="B787" s="55">
        <f>IF('04_DATA'!A784="","",'04_DATA'!A784)</f>
        <v/>
      </c>
      <c r="C787" s="55">
        <f>IF('04_DATA'!A784="","",IF(AND('04_DATA'!G784=1,'04_DATA'!H784=1,'04_DATA'!I784&gt;=3),"eligible","EXCLUDE"))</f>
        <v/>
      </c>
      <c r="D787" s="55">
        <f>IF('04_DATA'!A784="","",37-COUNT('04_DATA'!$K784:$AU784))</f>
        <v/>
      </c>
      <c r="E787" s="63">
        <f>IF('04_DATA'!A784="","",(37-COUNT('04_DATA'!$K784:$AU784))/37)</f>
        <v/>
      </c>
      <c r="F787" s="55">
        <f>IF('04_DATA'!A784="","",IF(AND(COUNT('04_DATA'!$K784:$AU784)=37,COUNTIF('04_DATA'!$K784:$AU784,INDEX('04_DATA'!$K784:$AU784,1))=37),"EXCLUDE","ok"))</f>
        <v/>
      </c>
      <c r="G787" s="55">
        <f>IF('04_DATA'!A784="","",IF('04_DATA'!D784&lt;PERCENTILE('04_DATA'!$D$2:$D$1001,0.05),"FLAG","ok"))</f>
        <v/>
      </c>
      <c r="H787" s="55">
        <f>IF('04_DATA'!A784="","",IF(OR(C787="EXCLUDE",F787="EXCLUDE"),"Exclude under pre-specified rule",IF(E787&gt;0.15,"Exclude: &gt;15% missing",IF(G787="FLAG","Retain; test in robustness battery","Retain"))))</f>
        <v/>
      </c>
    </row>
    <row r="788">
      <c r="A788" s="55" t="n">
        <v>785</v>
      </c>
      <c r="B788" s="55">
        <f>IF('04_DATA'!A785="","",'04_DATA'!A785)</f>
        <v/>
      </c>
      <c r="C788" s="55">
        <f>IF('04_DATA'!A785="","",IF(AND('04_DATA'!G785=1,'04_DATA'!H785=1,'04_DATA'!I785&gt;=3),"eligible","EXCLUDE"))</f>
        <v/>
      </c>
      <c r="D788" s="55">
        <f>IF('04_DATA'!A785="","",37-COUNT('04_DATA'!$K785:$AU785))</f>
        <v/>
      </c>
      <c r="E788" s="63">
        <f>IF('04_DATA'!A785="","",(37-COUNT('04_DATA'!$K785:$AU785))/37)</f>
        <v/>
      </c>
      <c r="F788" s="55">
        <f>IF('04_DATA'!A785="","",IF(AND(COUNT('04_DATA'!$K785:$AU785)=37,COUNTIF('04_DATA'!$K785:$AU785,INDEX('04_DATA'!$K785:$AU785,1))=37),"EXCLUDE","ok"))</f>
        <v/>
      </c>
      <c r="G788" s="55">
        <f>IF('04_DATA'!A785="","",IF('04_DATA'!D785&lt;PERCENTILE('04_DATA'!$D$2:$D$1001,0.05),"FLAG","ok"))</f>
        <v/>
      </c>
      <c r="H788" s="55">
        <f>IF('04_DATA'!A785="","",IF(OR(C788="EXCLUDE",F788="EXCLUDE"),"Exclude under pre-specified rule",IF(E788&gt;0.15,"Exclude: &gt;15% missing",IF(G788="FLAG","Retain; test in robustness battery","Retain"))))</f>
        <v/>
      </c>
    </row>
    <row r="789">
      <c r="A789" s="55" t="n">
        <v>786</v>
      </c>
      <c r="B789" s="55">
        <f>IF('04_DATA'!A786="","",'04_DATA'!A786)</f>
        <v/>
      </c>
      <c r="C789" s="55">
        <f>IF('04_DATA'!A786="","",IF(AND('04_DATA'!G786=1,'04_DATA'!H786=1,'04_DATA'!I786&gt;=3),"eligible","EXCLUDE"))</f>
        <v/>
      </c>
      <c r="D789" s="55">
        <f>IF('04_DATA'!A786="","",37-COUNT('04_DATA'!$K786:$AU786))</f>
        <v/>
      </c>
      <c r="E789" s="63">
        <f>IF('04_DATA'!A786="","",(37-COUNT('04_DATA'!$K786:$AU786))/37)</f>
        <v/>
      </c>
      <c r="F789" s="55">
        <f>IF('04_DATA'!A786="","",IF(AND(COUNT('04_DATA'!$K786:$AU786)=37,COUNTIF('04_DATA'!$K786:$AU786,INDEX('04_DATA'!$K786:$AU786,1))=37),"EXCLUDE","ok"))</f>
        <v/>
      </c>
      <c r="G789" s="55">
        <f>IF('04_DATA'!A786="","",IF('04_DATA'!D786&lt;PERCENTILE('04_DATA'!$D$2:$D$1001,0.05),"FLAG","ok"))</f>
        <v/>
      </c>
      <c r="H789" s="55">
        <f>IF('04_DATA'!A786="","",IF(OR(C789="EXCLUDE",F789="EXCLUDE"),"Exclude under pre-specified rule",IF(E789&gt;0.15,"Exclude: &gt;15% missing",IF(G789="FLAG","Retain; test in robustness battery","Retain"))))</f>
        <v/>
      </c>
    </row>
    <row r="790">
      <c r="A790" s="55" t="n">
        <v>787</v>
      </c>
      <c r="B790" s="55">
        <f>IF('04_DATA'!A787="","",'04_DATA'!A787)</f>
        <v/>
      </c>
      <c r="C790" s="55">
        <f>IF('04_DATA'!A787="","",IF(AND('04_DATA'!G787=1,'04_DATA'!H787=1,'04_DATA'!I787&gt;=3),"eligible","EXCLUDE"))</f>
        <v/>
      </c>
      <c r="D790" s="55">
        <f>IF('04_DATA'!A787="","",37-COUNT('04_DATA'!$K787:$AU787))</f>
        <v/>
      </c>
      <c r="E790" s="63">
        <f>IF('04_DATA'!A787="","",(37-COUNT('04_DATA'!$K787:$AU787))/37)</f>
        <v/>
      </c>
      <c r="F790" s="55">
        <f>IF('04_DATA'!A787="","",IF(AND(COUNT('04_DATA'!$K787:$AU787)=37,COUNTIF('04_DATA'!$K787:$AU787,INDEX('04_DATA'!$K787:$AU787,1))=37),"EXCLUDE","ok"))</f>
        <v/>
      </c>
      <c r="G790" s="55">
        <f>IF('04_DATA'!A787="","",IF('04_DATA'!D787&lt;PERCENTILE('04_DATA'!$D$2:$D$1001,0.05),"FLAG","ok"))</f>
        <v/>
      </c>
      <c r="H790" s="55">
        <f>IF('04_DATA'!A787="","",IF(OR(C790="EXCLUDE",F790="EXCLUDE"),"Exclude under pre-specified rule",IF(E790&gt;0.15,"Exclude: &gt;15% missing",IF(G790="FLAG","Retain; test in robustness battery","Retain"))))</f>
        <v/>
      </c>
    </row>
    <row r="791">
      <c r="A791" s="55" t="n">
        <v>788</v>
      </c>
      <c r="B791" s="55">
        <f>IF('04_DATA'!A788="","",'04_DATA'!A788)</f>
        <v/>
      </c>
      <c r="C791" s="55">
        <f>IF('04_DATA'!A788="","",IF(AND('04_DATA'!G788=1,'04_DATA'!H788=1,'04_DATA'!I788&gt;=3),"eligible","EXCLUDE"))</f>
        <v/>
      </c>
      <c r="D791" s="55">
        <f>IF('04_DATA'!A788="","",37-COUNT('04_DATA'!$K788:$AU788))</f>
        <v/>
      </c>
      <c r="E791" s="63">
        <f>IF('04_DATA'!A788="","",(37-COUNT('04_DATA'!$K788:$AU788))/37)</f>
        <v/>
      </c>
      <c r="F791" s="55">
        <f>IF('04_DATA'!A788="","",IF(AND(COUNT('04_DATA'!$K788:$AU788)=37,COUNTIF('04_DATA'!$K788:$AU788,INDEX('04_DATA'!$K788:$AU788,1))=37),"EXCLUDE","ok"))</f>
        <v/>
      </c>
      <c r="G791" s="55">
        <f>IF('04_DATA'!A788="","",IF('04_DATA'!D788&lt;PERCENTILE('04_DATA'!$D$2:$D$1001,0.05),"FLAG","ok"))</f>
        <v/>
      </c>
      <c r="H791" s="55">
        <f>IF('04_DATA'!A788="","",IF(OR(C791="EXCLUDE",F791="EXCLUDE"),"Exclude under pre-specified rule",IF(E791&gt;0.15,"Exclude: &gt;15% missing",IF(G791="FLAG","Retain; test in robustness battery","Retain"))))</f>
        <v/>
      </c>
    </row>
    <row r="792">
      <c r="A792" s="55" t="n">
        <v>789</v>
      </c>
      <c r="B792" s="55">
        <f>IF('04_DATA'!A789="","",'04_DATA'!A789)</f>
        <v/>
      </c>
      <c r="C792" s="55">
        <f>IF('04_DATA'!A789="","",IF(AND('04_DATA'!G789=1,'04_DATA'!H789=1,'04_DATA'!I789&gt;=3),"eligible","EXCLUDE"))</f>
        <v/>
      </c>
      <c r="D792" s="55">
        <f>IF('04_DATA'!A789="","",37-COUNT('04_DATA'!$K789:$AU789))</f>
        <v/>
      </c>
      <c r="E792" s="63">
        <f>IF('04_DATA'!A789="","",(37-COUNT('04_DATA'!$K789:$AU789))/37)</f>
        <v/>
      </c>
      <c r="F792" s="55">
        <f>IF('04_DATA'!A789="","",IF(AND(COUNT('04_DATA'!$K789:$AU789)=37,COUNTIF('04_DATA'!$K789:$AU789,INDEX('04_DATA'!$K789:$AU789,1))=37),"EXCLUDE","ok"))</f>
        <v/>
      </c>
      <c r="G792" s="55">
        <f>IF('04_DATA'!A789="","",IF('04_DATA'!D789&lt;PERCENTILE('04_DATA'!$D$2:$D$1001,0.05),"FLAG","ok"))</f>
        <v/>
      </c>
      <c r="H792" s="55">
        <f>IF('04_DATA'!A789="","",IF(OR(C792="EXCLUDE",F792="EXCLUDE"),"Exclude under pre-specified rule",IF(E792&gt;0.15,"Exclude: &gt;15% missing",IF(G792="FLAG","Retain; test in robustness battery","Retain"))))</f>
        <v/>
      </c>
    </row>
    <row r="793">
      <c r="A793" s="55" t="n">
        <v>790</v>
      </c>
      <c r="B793" s="55">
        <f>IF('04_DATA'!A790="","",'04_DATA'!A790)</f>
        <v/>
      </c>
      <c r="C793" s="55">
        <f>IF('04_DATA'!A790="","",IF(AND('04_DATA'!G790=1,'04_DATA'!H790=1,'04_DATA'!I790&gt;=3),"eligible","EXCLUDE"))</f>
        <v/>
      </c>
      <c r="D793" s="55">
        <f>IF('04_DATA'!A790="","",37-COUNT('04_DATA'!$K790:$AU790))</f>
        <v/>
      </c>
      <c r="E793" s="63">
        <f>IF('04_DATA'!A790="","",(37-COUNT('04_DATA'!$K790:$AU790))/37)</f>
        <v/>
      </c>
      <c r="F793" s="55">
        <f>IF('04_DATA'!A790="","",IF(AND(COUNT('04_DATA'!$K790:$AU790)=37,COUNTIF('04_DATA'!$K790:$AU790,INDEX('04_DATA'!$K790:$AU790,1))=37),"EXCLUDE","ok"))</f>
        <v/>
      </c>
      <c r="G793" s="55">
        <f>IF('04_DATA'!A790="","",IF('04_DATA'!D790&lt;PERCENTILE('04_DATA'!$D$2:$D$1001,0.05),"FLAG","ok"))</f>
        <v/>
      </c>
      <c r="H793" s="55">
        <f>IF('04_DATA'!A790="","",IF(OR(C793="EXCLUDE",F793="EXCLUDE"),"Exclude under pre-specified rule",IF(E793&gt;0.15,"Exclude: &gt;15% missing",IF(G793="FLAG","Retain; test in robustness battery","Retain"))))</f>
        <v/>
      </c>
    </row>
    <row r="794">
      <c r="A794" s="55" t="n">
        <v>791</v>
      </c>
      <c r="B794" s="55">
        <f>IF('04_DATA'!A791="","",'04_DATA'!A791)</f>
        <v/>
      </c>
      <c r="C794" s="55">
        <f>IF('04_DATA'!A791="","",IF(AND('04_DATA'!G791=1,'04_DATA'!H791=1,'04_DATA'!I791&gt;=3),"eligible","EXCLUDE"))</f>
        <v/>
      </c>
      <c r="D794" s="55">
        <f>IF('04_DATA'!A791="","",37-COUNT('04_DATA'!$K791:$AU791))</f>
        <v/>
      </c>
      <c r="E794" s="63">
        <f>IF('04_DATA'!A791="","",(37-COUNT('04_DATA'!$K791:$AU791))/37)</f>
        <v/>
      </c>
      <c r="F794" s="55">
        <f>IF('04_DATA'!A791="","",IF(AND(COUNT('04_DATA'!$K791:$AU791)=37,COUNTIF('04_DATA'!$K791:$AU791,INDEX('04_DATA'!$K791:$AU791,1))=37),"EXCLUDE","ok"))</f>
        <v/>
      </c>
      <c r="G794" s="55">
        <f>IF('04_DATA'!A791="","",IF('04_DATA'!D791&lt;PERCENTILE('04_DATA'!$D$2:$D$1001,0.05),"FLAG","ok"))</f>
        <v/>
      </c>
      <c r="H794" s="55">
        <f>IF('04_DATA'!A791="","",IF(OR(C794="EXCLUDE",F794="EXCLUDE"),"Exclude under pre-specified rule",IF(E794&gt;0.15,"Exclude: &gt;15% missing",IF(G794="FLAG","Retain; test in robustness battery","Retain"))))</f>
        <v/>
      </c>
    </row>
    <row r="795">
      <c r="A795" s="55" t="n">
        <v>792</v>
      </c>
      <c r="B795" s="55">
        <f>IF('04_DATA'!A792="","",'04_DATA'!A792)</f>
        <v/>
      </c>
      <c r="C795" s="55">
        <f>IF('04_DATA'!A792="","",IF(AND('04_DATA'!G792=1,'04_DATA'!H792=1,'04_DATA'!I792&gt;=3),"eligible","EXCLUDE"))</f>
        <v/>
      </c>
      <c r="D795" s="55">
        <f>IF('04_DATA'!A792="","",37-COUNT('04_DATA'!$K792:$AU792))</f>
        <v/>
      </c>
      <c r="E795" s="63">
        <f>IF('04_DATA'!A792="","",(37-COUNT('04_DATA'!$K792:$AU792))/37)</f>
        <v/>
      </c>
      <c r="F795" s="55">
        <f>IF('04_DATA'!A792="","",IF(AND(COUNT('04_DATA'!$K792:$AU792)=37,COUNTIF('04_DATA'!$K792:$AU792,INDEX('04_DATA'!$K792:$AU792,1))=37),"EXCLUDE","ok"))</f>
        <v/>
      </c>
      <c r="G795" s="55">
        <f>IF('04_DATA'!A792="","",IF('04_DATA'!D792&lt;PERCENTILE('04_DATA'!$D$2:$D$1001,0.05),"FLAG","ok"))</f>
        <v/>
      </c>
      <c r="H795" s="55">
        <f>IF('04_DATA'!A792="","",IF(OR(C795="EXCLUDE",F795="EXCLUDE"),"Exclude under pre-specified rule",IF(E795&gt;0.15,"Exclude: &gt;15% missing",IF(G795="FLAG","Retain; test in robustness battery","Retain"))))</f>
        <v/>
      </c>
    </row>
    <row r="796">
      <c r="A796" s="55" t="n">
        <v>793</v>
      </c>
      <c r="B796" s="55">
        <f>IF('04_DATA'!A793="","",'04_DATA'!A793)</f>
        <v/>
      </c>
      <c r="C796" s="55">
        <f>IF('04_DATA'!A793="","",IF(AND('04_DATA'!G793=1,'04_DATA'!H793=1,'04_DATA'!I793&gt;=3),"eligible","EXCLUDE"))</f>
        <v/>
      </c>
      <c r="D796" s="55">
        <f>IF('04_DATA'!A793="","",37-COUNT('04_DATA'!$K793:$AU793))</f>
        <v/>
      </c>
      <c r="E796" s="63">
        <f>IF('04_DATA'!A793="","",(37-COUNT('04_DATA'!$K793:$AU793))/37)</f>
        <v/>
      </c>
      <c r="F796" s="55">
        <f>IF('04_DATA'!A793="","",IF(AND(COUNT('04_DATA'!$K793:$AU793)=37,COUNTIF('04_DATA'!$K793:$AU793,INDEX('04_DATA'!$K793:$AU793,1))=37),"EXCLUDE","ok"))</f>
        <v/>
      </c>
      <c r="G796" s="55">
        <f>IF('04_DATA'!A793="","",IF('04_DATA'!D793&lt;PERCENTILE('04_DATA'!$D$2:$D$1001,0.05),"FLAG","ok"))</f>
        <v/>
      </c>
      <c r="H796" s="55">
        <f>IF('04_DATA'!A793="","",IF(OR(C796="EXCLUDE",F796="EXCLUDE"),"Exclude under pre-specified rule",IF(E796&gt;0.15,"Exclude: &gt;15% missing",IF(G796="FLAG","Retain; test in robustness battery","Retain"))))</f>
        <v/>
      </c>
    </row>
    <row r="797">
      <c r="A797" s="55" t="n">
        <v>794</v>
      </c>
      <c r="B797" s="55">
        <f>IF('04_DATA'!A794="","",'04_DATA'!A794)</f>
        <v/>
      </c>
      <c r="C797" s="55">
        <f>IF('04_DATA'!A794="","",IF(AND('04_DATA'!G794=1,'04_DATA'!H794=1,'04_DATA'!I794&gt;=3),"eligible","EXCLUDE"))</f>
        <v/>
      </c>
      <c r="D797" s="55">
        <f>IF('04_DATA'!A794="","",37-COUNT('04_DATA'!$K794:$AU794))</f>
        <v/>
      </c>
      <c r="E797" s="63">
        <f>IF('04_DATA'!A794="","",(37-COUNT('04_DATA'!$K794:$AU794))/37)</f>
        <v/>
      </c>
      <c r="F797" s="55">
        <f>IF('04_DATA'!A794="","",IF(AND(COUNT('04_DATA'!$K794:$AU794)=37,COUNTIF('04_DATA'!$K794:$AU794,INDEX('04_DATA'!$K794:$AU794,1))=37),"EXCLUDE","ok"))</f>
        <v/>
      </c>
      <c r="G797" s="55">
        <f>IF('04_DATA'!A794="","",IF('04_DATA'!D794&lt;PERCENTILE('04_DATA'!$D$2:$D$1001,0.05),"FLAG","ok"))</f>
        <v/>
      </c>
      <c r="H797" s="55">
        <f>IF('04_DATA'!A794="","",IF(OR(C797="EXCLUDE",F797="EXCLUDE"),"Exclude under pre-specified rule",IF(E797&gt;0.15,"Exclude: &gt;15% missing",IF(G797="FLAG","Retain; test in robustness battery","Retain"))))</f>
        <v/>
      </c>
    </row>
    <row r="798">
      <c r="A798" s="55" t="n">
        <v>795</v>
      </c>
      <c r="B798" s="55">
        <f>IF('04_DATA'!A795="","",'04_DATA'!A795)</f>
        <v/>
      </c>
      <c r="C798" s="55">
        <f>IF('04_DATA'!A795="","",IF(AND('04_DATA'!G795=1,'04_DATA'!H795=1,'04_DATA'!I795&gt;=3),"eligible","EXCLUDE"))</f>
        <v/>
      </c>
      <c r="D798" s="55">
        <f>IF('04_DATA'!A795="","",37-COUNT('04_DATA'!$K795:$AU795))</f>
        <v/>
      </c>
      <c r="E798" s="63">
        <f>IF('04_DATA'!A795="","",(37-COUNT('04_DATA'!$K795:$AU795))/37)</f>
        <v/>
      </c>
      <c r="F798" s="55">
        <f>IF('04_DATA'!A795="","",IF(AND(COUNT('04_DATA'!$K795:$AU795)=37,COUNTIF('04_DATA'!$K795:$AU795,INDEX('04_DATA'!$K795:$AU795,1))=37),"EXCLUDE","ok"))</f>
        <v/>
      </c>
      <c r="G798" s="55">
        <f>IF('04_DATA'!A795="","",IF('04_DATA'!D795&lt;PERCENTILE('04_DATA'!$D$2:$D$1001,0.05),"FLAG","ok"))</f>
        <v/>
      </c>
      <c r="H798" s="55">
        <f>IF('04_DATA'!A795="","",IF(OR(C798="EXCLUDE",F798="EXCLUDE"),"Exclude under pre-specified rule",IF(E798&gt;0.15,"Exclude: &gt;15% missing",IF(G798="FLAG","Retain; test in robustness battery","Retain"))))</f>
        <v/>
      </c>
    </row>
    <row r="799">
      <c r="A799" s="55" t="n">
        <v>796</v>
      </c>
      <c r="B799" s="55">
        <f>IF('04_DATA'!A796="","",'04_DATA'!A796)</f>
        <v/>
      </c>
      <c r="C799" s="55">
        <f>IF('04_DATA'!A796="","",IF(AND('04_DATA'!G796=1,'04_DATA'!H796=1,'04_DATA'!I796&gt;=3),"eligible","EXCLUDE"))</f>
        <v/>
      </c>
      <c r="D799" s="55">
        <f>IF('04_DATA'!A796="","",37-COUNT('04_DATA'!$K796:$AU796))</f>
        <v/>
      </c>
      <c r="E799" s="63">
        <f>IF('04_DATA'!A796="","",(37-COUNT('04_DATA'!$K796:$AU796))/37)</f>
        <v/>
      </c>
      <c r="F799" s="55">
        <f>IF('04_DATA'!A796="","",IF(AND(COUNT('04_DATA'!$K796:$AU796)=37,COUNTIF('04_DATA'!$K796:$AU796,INDEX('04_DATA'!$K796:$AU796,1))=37),"EXCLUDE","ok"))</f>
        <v/>
      </c>
      <c r="G799" s="55">
        <f>IF('04_DATA'!A796="","",IF('04_DATA'!D796&lt;PERCENTILE('04_DATA'!$D$2:$D$1001,0.05),"FLAG","ok"))</f>
        <v/>
      </c>
      <c r="H799" s="55">
        <f>IF('04_DATA'!A796="","",IF(OR(C799="EXCLUDE",F799="EXCLUDE"),"Exclude under pre-specified rule",IF(E799&gt;0.15,"Exclude: &gt;15% missing",IF(G799="FLAG","Retain; test in robustness battery","Retain"))))</f>
        <v/>
      </c>
    </row>
    <row r="800">
      <c r="A800" s="55" t="n">
        <v>797</v>
      </c>
      <c r="B800" s="55">
        <f>IF('04_DATA'!A797="","",'04_DATA'!A797)</f>
        <v/>
      </c>
      <c r="C800" s="55">
        <f>IF('04_DATA'!A797="","",IF(AND('04_DATA'!G797=1,'04_DATA'!H797=1,'04_DATA'!I797&gt;=3),"eligible","EXCLUDE"))</f>
        <v/>
      </c>
      <c r="D800" s="55">
        <f>IF('04_DATA'!A797="","",37-COUNT('04_DATA'!$K797:$AU797))</f>
        <v/>
      </c>
      <c r="E800" s="63">
        <f>IF('04_DATA'!A797="","",(37-COUNT('04_DATA'!$K797:$AU797))/37)</f>
        <v/>
      </c>
      <c r="F800" s="55">
        <f>IF('04_DATA'!A797="","",IF(AND(COUNT('04_DATA'!$K797:$AU797)=37,COUNTIF('04_DATA'!$K797:$AU797,INDEX('04_DATA'!$K797:$AU797,1))=37),"EXCLUDE","ok"))</f>
        <v/>
      </c>
      <c r="G800" s="55">
        <f>IF('04_DATA'!A797="","",IF('04_DATA'!D797&lt;PERCENTILE('04_DATA'!$D$2:$D$1001,0.05),"FLAG","ok"))</f>
        <v/>
      </c>
      <c r="H800" s="55">
        <f>IF('04_DATA'!A797="","",IF(OR(C800="EXCLUDE",F800="EXCLUDE"),"Exclude under pre-specified rule",IF(E800&gt;0.15,"Exclude: &gt;15% missing",IF(G800="FLAG","Retain; test in robustness battery","Retain"))))</f>
        <v/>
      </c>
    </row>
    <row r="801">
      <c r="A801" s="55" t="n">
        <v>798</v>
      </c>
      <c r="B801" s="55">
        <f>IF('04_DATA'!A798="","",'04_DATA'!A798)</f>
        <v/>
      </c>
      <c r="C801" s="55">
        <f>IF('04_DATA'!A798="","",IF(AND('04_DATA'!G798=1,'04_DATA'!H798=1,'04_DATA'!I798&gt;=3),"eligible","EXCLUDE"))</f>
        <v/>
      </c>
      <c r="D801" s="55">
        <f>IF('04_DATA'!A798="","",37-COUNT('04_DATA'!$K798:$AU798))</f>
        <v/>
      </c>
      <c r="E801" s="63">
        <f>IF('04_DATA'!A798="","",(37-COUNT('04_DATA'!$K798:$AU798))/37)</f>
        <v/>
      </c>
      <c r="F801" s="55">
        <f>IF('04_DATA'!A798="","",IF(AND(COUNT('04_DATA'!$K798:$AU798)=37,COUNTIF('04_DATA'!$K798:$AU798,INDEX('04_DATA'!$K798:$AU798,1))=37),"EXCLUDE","ok"))</f>
        <v/>
      </c>
      <c r="G801" s="55">
        <f>IF('04_DATA'!A798="","",IF('04_DATA'!D798&lt;PERCENTILE('04_DATA'!$D$2:$D$1001,0.05),"FLAG","ok"))</f>
        <v/>
      </c>
      <c r="H801" s="55">
        <f>IF('04_DATA'!A798="","",IF(OR(C801="EXCLUDE",F801="EXCLUDE"),"Exclude under pre-specified rule",IF(E801&gt;0.15,"Exclude: &gt;15% missing",IF(G801="FLAG","Retain; test in robustness battery","Retain"))))</f>
        <v/>
      </c>
    </row>
    <row r="802">
      <c r="A802" s="55" t="n">
        <v>799</v>
      </c>
      <c r="B802" s="55">
        <f>IF('04_DATA'!A799="","",'04_DATA'!A799)</f>
        <v/>
      </c>
      <c r="C802" s="55">
        <f>IF('04_DATA'!A799="","",IF(AND('04_DATA'!G799=1,'04_DATA'!H799=1,'04_DATA'!I799&gt;=3),"eligible","EXCLUDE"))</f>
        <v/>
      </c>
      <c r="D802" s="55">
        <f>IF('04_DATA'!A799="","",37-COUNT('04_DATA'!$K799:$AU799))</f>
        <v/>
      </c>
      <c r="E802" s="63">
        <f>IF('04_DATA'!A799="","",(37-COUNT('04_DATA'!$K799:$AU799))/37)</f>
        <v/>
      </c>
      <c r="F802" s="55">
        <f>IF('04_DATA'!A799="","",IF(AND(COUNT('04_DATA'!$K799:$AU799)=37,COUNTIF('04_DATA'!$K799:$AU799,INDEX('04_DATA'!$K799:$AU799,1))=37),"EXCLUDE","ok"))</f>
        <v/>
      </c>
      <c r="G802" s="55">
        <f>IF('04_DATA'!A799="","",IF('04_DATA'!D799&lt;PERCENTILE('04_DATA'!$D$2:$D$1001,0.05),"FLAG","ok"))</f>
        <v/>
      </c>
      <c r="H802" s="55">
        <f>IF('04_DATA'!A799="","",IF(OR(C802="EXCLUDE",F802="EXCLUDE"),"Exclude under pre-specified rule",IF(E802&gt;0.15,"Exclude: &gt;15% missing",IF(G802="FLAG","Retain; test in robustness battery","Retain"))))</f>
        <v/>
      </c>
    </row>
    <row r="803">
      <c r="A803" s="55" t="n">
        <v>800</v>
      </c>
      <c r="B803" s="55">
        <f>IF('04_DATA'!A800="","",'04_DATA'!A800)</f>
        <v/>
      </c>
      <c r="C803" s="55">
        <f>IF('04_DATA'!A800="","",IF(AND('04_DATA'!G800=1,'04_DATA'!H800=1,'04_DATA'!I800&gt;=3),"eligible","EXCLUDE"))</f>
        <v/>
      </c>
      <c r="D803" s="55">
        <f>IF('04_DATA'!A800="","",37-COUNT('04_DATA'!$K800:$AU800))</f>
        <v/>
      </c>
      <c r="E803" s="63">
        <f>IF('04_DATA'!A800="","",(37-COUNT('04_DATA'!$K800:$AU800))/37)</f>
        <v/>
      </c>
      <c r="F803" s="55">
        <f>IF('04_DATA'!A800="","",IF(AND(COUNT('04_DATA'!$K800:$AU800)=37,COUNTIF('04_DATA'!$K800:$AU800,INDEX('04_DATA'!$K800:$AU800,1))=37),"EXCLUDE","ok"))</f>
        <v/>
      </c>
      <c r="G803" s="55">
        <f>IF('04_DATA'!A800="","",IF('04_DATA'!D800&lt;PERCENTILE('04_DATA'!$D$2:$D$1001,0.05),"FLAG","ok"))</f>
        <v/>
      </c>
      <c r="H803" s="55">
        <f>IF('04_DATA'!A800="","",IF(OR(C803="EXCLUDE",F803="EXCLUDE"),"Exclude under pre-specified rule",IF(E803&gt;0.15,"Exclude: &gt;15% missing",IF(G803="FLAG","Retain; test in robustness battery","Retain"))))</f>
        <v/>
      </c>
    </row>
    <row r="804">
      <c r="A804" s="55" t="n">
        <v>801</v>
      </c>
      <c r="B804" s="55">
        <f>IF('04_DATA'!A801="","",'04_DATA'!A801)</f>
        <v/>
      </c>
      <c r="C804" s="55">
        <f>IF('04_DATA'!A801="","",IF(AND('04_DATA'!G801=1,'04_DATA'!H801=1,'04_DATA'!I801&gt;=3),"eligible","EXCLUDE"))</f>
        <v/>
      </c>
      <c r="D804" s="55">
        <f>IF('04_DATA'!A801="","",37-COUNT('04_DATA'!$K801:$AU801))</f>
        <v/>
      </c>
      <c r="E804" s="63">
        <f>IF('04_DATA'!A801="","",(37-COUNT('04_DATA'!$K801:$AU801))/37)</f>
        <v/>
      </c>
      <c r="F804" s="55">
        <f>IF('04_DATA'!A801="","",IF(AND(COUNT('04_DATA'!$K801:$AU801)=37,COUNTIF('04_DATA'!$K801:$AU801,INDEX('04_DATA'!$K801:$AU801,1))=37),"EXCLUDE","ok"))</f>
        <v/>
      </c>
      <c r="G804" s="55">
        <f>IF('04_DATA'!A801="","",IF('04_DATA'!D801&lt;PERCENTILE('04_DATA'!$D$2:$D$1001,0.05),"FLAG","ok"))</f>
        <v/>
      </c>
      <c r="H804" s="55">
        <f>IF('04_DATA'!A801="","",IF(OR(C804="EXCLUDE",F804="EXCLUDE"),"Exclude under pre-specified rule",IF(E804&gt;0.15,"Exclude: &gt;15% missing",IF(G804="FLAG","Retain; test in robustness battery","Retain"))))</f>
        <v/>
      </c>
    </row>
    <row r="805">
      <c r="A805" s="55" t="n">
        <v>802</v>
      </c>
      <c r="B805" s="55">
        <f>IF('04_DATA'!A802="","",'04_DATA'!A802)</f>
        <v/>
      </c>
      <c r="C805" s="55">
        <f>IF('04_DATA'!A802="","",IF(AND('04_DATA'!G802=1,'04_DATA'!H802=1,'04_DATA'!I802&gt;=3),"eligible","EXCLUDE"))</f>
        <v/>
      </c>
      <c r="D805" s="55">
        <f>IF('04_DATA'!A802="","",37-COUNT('04_DATA'!$K802:$AU802))</f>
        <v/>
      </c>
      <c r="E805" s="63">
        <f>IF('04_DATA'!A802="","",(37-COUNT('04_DATA'!$K802:$AU802))/37)</f>
        <v/>
      </c>
      <c r="F805" s="55">
        <f>IF('04_DATA'!A802="","",IF(AND(COUNT('04_DATA'!$K802:$AU802)=37,COUNTIF('04_DATA'!$K802:$AU802,INDEX('04_DATA'!$K802:$AU802,1))=37),"EXCLUDE","ok"))</f>
        <v/>
      </c>
      <c r="G805" s="55">
        <f>IF('04_DATA'!A802="","",IF('04_DATA'!D802&lt;PERCENTILE('04_DATA'!$D$2:$D$1001,0.05),"FLAG","ok"))</f>
        <v/>
      </c>
      <c r="H805" s="55">
        <f>IF('04_DATA'!A802="","",IF(OR(C805="EXCLUDE",F805="EXCLUDE"),"Exclude under pre-specified rule",IF(E805&gt;0.15,"Exclude: &gt;15% missing",IF(G805="FLAG","Retain; test in robustness battery","Retain"))))</f>
        <v/>
      </c>
    </row>
    <row r="806">
      <c r="A806" s="55" t="n">
        <v>803</v>
      </c>
      <c r="B806" s="55">
        <f>IF('04_DATA'!A803="","",'04_DATA'!A803)</f>
        <v/>
      </c>
      <c r="C806" s="55">
        <f>IF('04_DATA'!A803="","",IF(AND('04_DATA'!G803=1,'04_DATA'!H803=1,'04_DATA'!I803&gt;=3),"eligible","EXCLUDE"))</f>
        <v/>
      </c>
      <c r="D806" s="55">
        <f>IF('04_DATA'!A803="","",37-COUNT('04_DATA'!$K803:$AU803))</f>
        <v/>
      </c>
      <c r="E806" s="63">
        <f>IF('04_DATA'!A803="","",(37-COUNT('04_DATA'!$K803:$AU803))/37)</f>
        <v/>
      </c>
      <c r="F806" s="55">
        <f>IF('04_DATA'!A803="","",IF(AND(COUNT('04_DATA'!$K803:$AU803)=37,COUNTIF('04_DATA'!$K803:$AU803,INDEX('04_DATA'!$K803:$AU803,1))=37),"EXCLUDE","ok"))</f>
        <v/>
      </c>
      <c r="G806" s="55">
        <f>IF('04_DATA'!A803="","",IF('04_DATA'!D803&lt;PERCENTILE('04_DATA'!$D$2:$D$1001,0.05),"FLAG","ok"))</f>
        <v/>
      </c>
      <c r="H806" s="55">
        <f>IF('04_DATA'!A803="","",IF(OR(C806="EXCLUDE",F806="EXCLUDE"),"Exclude under pre-specified rule",IF(E806&gt;0.15,"Exclude: &gt;15% missing",IF(G806="FLAG","Retain; test in robustness battery","Retain"))))</f>
        <v/>
      </c>
    </row>
    <row r="807">
      <c r="A807" s="55" t="n">
        <v>804</v>
      </c>
      <c r="B807" s="55">
        <f>IF('04_DATA'!A804="","",'04_DATA'!A804)</f>
        <v/>
      </c>
      <c r="C807" s="55">
        <f>IF('04_DATA'!A804="","",IF(AND('04_DATA'!G804=1,'04_DATA'!H804=1,'04_DATA'!I804&gt;=3),"eligible","EXCLUDE"))</f>
        <v/>
      </c>
      <c r="D807" s="55">
        <f>IF('04_DATA'!A804="","",37-COUNT('04_DATA'!$K804:$AU804))</f>
        <v/>
      </c>
      <c r="E807" s="63">
        <f>IF('04_DATA'!A804="","",(37-COUNT('04_DATA'!$K804:$AU804))/37)</f>
        <v/>
      </c>
      <c r="F807" s="55">
        <f>IF('04_DATA'!A804="","",IF(AND(COUNT('04_DATA'!$K804:$AU804)=37,COUNTIF('04_DATA'!$K804:$AU804,INDEX('04_DATA'!$K804:$AU804,1))=37),"EXCLUDE","ok"))</f>
        <v/>
      </c>
      <c r="G807" s="55">
        <f>IF('04_DATA'!A804="","",IF('04_DATA'!D804&lt;PERCENTILE('04_DATA'!$D$2:$D$1001,0.05),"FLAG","ok"))</f>
        <v/>
      </c>
      <c r="H807" s="55">
        <f>IF('04_DATA'!A804="","",IF(OR(C807="EXCLUDE",F807="EXCLUDE"),"Exclude under pre-specified rule",IF(E807&gt;0.15,"Exclude: &gt;15% missing",IF(G807="FLAG","Retain; test in robustness battery","Retain"))))</f>
        <v/>
      </c>
    </row>
    <row r="808">
      <c r="A808" s="55" t="n">
        <v>805</v>
      </c>
      <c r="B808" s="55">
        <f>IF('04_DATA'!A805="","",'04_DATA'!A805)</f>
        <v/>
      </c>
      <c r="C808" s="55">
        <f>IF('04_DATA'!A805="","",IF(AND('04_DATA'!G805=1,'04_DATA'!H805=1,'04_DATA'!I805&gt;=3),"eligible","EXCLUDE"))</f>
        <v/>
      </c>
      <c r="D808" s="55">
        <f>IF('04_DATA'!A805="","",37-COUNT('04_DATA'!$K805:$AU805))</f>
        <v/>
      </c>
      <c r="E808" s="63">
        <f>IF('04_DATA'!A805="","",(37-COUNT('04_DATA'!$K805:$AU805))/37)</f>
        <v/>
      </c>
      <c r="F808" s="55">
        <f>IF('04_DATA'!A805="","",IF(AND(COUNT('04_DATA'!$K805:$AU805)=37,COUNTIF('04_DATA'!$K805:$AU805,INDEX('04_DATA'!$K805:$AU805,1))=37),"EXCLUDE","ok"))</f>
        <v/>
      </c>
      <c r="G808" s="55">
        <f>IF('04_DATA'!A805="","",IF('04_DATA'!D805&lt;PERCENTILE('04_DATA'!$D$2:$D$1001,0.05),"FLAG","ok"))</f>
        <v/>
      </c>
      <c r="H808" s="55">
        <f>IF('04_DATA'!A805="","",IF(OR(C808="EXCLUDE",F808="EXCLUDE"),"Exclude under pre-specified rule",IF(E808&gt;0.15,"Exclude: &gt;15% missing",IF(G808="FLAG","Retain; test in robustness battery","Retain"))))</f>
        <v/>
      </c>
    </row>
    <row r="809">
      <c r="A809" s="55" t="n">
        <v>806</v>
      </c>
      <c r="B809" s="55">
        <f>IF('04_DATA'!A806="","",'04_DATA'!A806)</f>
        <v/>
      </c>
      <c r="C809" s="55">
        <f>IF('04_DATA'!A806="","",IF(AND('04_DATA'!G806=1,'04_DATA'!H806=1,'04_DATA'!I806&gt;=3),"eligible","EXCLUDE"))</f>
        <v/>
      </c>
      <c r="D809" s="55">
        <f>IF('04_DATA'!A806="","",37-COUNT('04_DATA'!$K806:$AU806))</f>
        <v/>
      </c>
      <c r="E809" s="63">
        <f>IF('04_DATA'!A806="","",(37-COUNT('04_DATA'!$K806:$AU806))/37)</f>
        <v/>
      </c>
      <c r="F809" s="55">
        <f>IF('04_DATA'!A806="","",IF(AND(COUNT('04_DATA'!$K806:$AU806)=37,COUNTIF('04_DATA'!$K806:$AU806,INDEX('04_DATA'!$K806:$AU806,1))=37),"EXCLUDE","ok"))</f>
        <v/>
      </c>
      <c r="G809" s="55">
        <f>IF('04_DATA'!A806="","",IF('04_DATA'!D806&lt;PERCENTILE('04_DATA'!$D$2:$D$1001,0.05),"FLAG","ok"))</f>
        <v/>
      </c>
      <c r="H809" s="55">
        <f>IF('04_DATA'!A806="","",IF(OR(C809="EXCLUDE",F809="EXCLUDE"),"Exclude under pre-specified rule",IF(E809&gt;0.15,"Exclude: &gt;15% missing",IF(G809="FLAG","Retain; test in robustness battery","Retain"))))</f>
        <v/>
      </c>
    </row>
    <row r="810">
      <c r="A810" s="55" t="n">
        <v>807</v>
      </c>
      <c r="B810" s="55">
        <f>IF('04_DATA'!A807="","",'04_DATA'!A807)</f>
        <v/>
      </c>
      <c r="C810" s="55">
        <f>IF('04_DATA'!A807="","",IF(AND('04_DATA'!G807=1,'04_DATA'!H807=1,'04_DATA'!I807&gt;=3),"eligible","EXCLUDE"))</f>
        <v/>
      </c>
      <c r="D810" s="55">
        <f>IF('04_DATA'!A807="","",37-COUNT('04_DATA'!$K807:$AU807))</f>
        <v/>
      </c>
      <c r="E810" s="63">
        <f>IF('04_DATA'!A807="","",(37-COUNT('04_DATA'!$K807:$AU807))/37)</f>
        <v/>
      </c>
      <c r="F810" s="55">
        <f>IF('04_DATA'!A807="","",IF(AND(COUNT('04_DATA'!$K807:$AU807)=37,COUNTIF('04_DATA'!$K807:$AU807,INDEX('04_DATA'!$K807:$AU807,1))=37),"EXCLUDE","ok"))</f>
        <v/>
      </c>
      <c r="G810" s="55">
        <f>IF('04_DATA'!A807="","",IF('04_DATA'!D807&lt;PERCENTILE('04_DATA'!$D$2:$D$1001,0.05),"FLAG","ok"))</f>
        <v/>
      </c>
      <c r="H810" s="55">
        <f>IF('04_DATA'!A807="","",IF(OR(C810="EXCLUDE",F810="EXCLUDE"),"Exclude under pre-specified rule",IF(E810&gt;0.15,"Exclude: &gt;15% missing",IF(G810="FLAG","Retain; test in robustness battery","Retain"))))</f>
        <v/>
      </c>
    </row>
    <row r="811">
      <c r="A811" s="55" t="n">
        <v>808</v>
      </c>
      <c r="B811" s="55">
        <f>IF('04_DATA'!A808="","",'04_DATA'!A808)</f>
        <v/>
      </c>
      <c r="C811" s="55">
        <f>IF('04_DATA'!A808="","",IF(AND('04_DATA'!G808=1,'04_DATA'!H808=1,'04_DATA'!I808&gt;=3),"eligible","EXCLUDE"))</f>
        <v/>
      </c>
      <c r="D811" s="55">
        <f>IF('04_DATA'!A808="","",37-COUNT('04_DATA'!$K808:$AU808))</f>
        <v/>
      </c>
      <c r="E811" s="63">
        <f>IF('04_DATA'!A808="","",(37-COUNT('04_DATA'!$K808:$AU808))/37)</f>
        <v/>
      </c>
      <c r="F811" s="55">
        <f>IF('04_DATA'!A808="","",IF(AND(COUNT('04_DATA'!$K808:$AU808)=37,COUNTIF('04_DATA'!$K808:$AU808,INDEX('04_DATA'!$K808:$AU808,1))=37),"EXCLUDE","ok"))</f>
        <v/>
      </c>
      <c r="G811" s="55">
        <f>IF('04_DATA'!A808="","",IF('04_DATA'!D808&lt;PERCENTILE('04_DATA'!$D$2:$D$1001,0.05),"FLAG","ok"))</f>
        <v/>
      </c>
      <c r="H811" s="55">
        <f>IF('04_DATA'!A808="","",IF(OR(C811="EXCLUDE",F811="EXCLUDE"),"Exclude under pre-specified rule",IF(E811&gt;0.15,"Exclude: &gt;15% missing",IF(G811="FLAG","Retain; test in robustness battery","Retain"))))</f>
        <v/>
      </c>
    </row>
    <row r="812">
      <c r="A812" s="55" t="n">
        <v>809</v>
      </c>
      <c r="B812" s="55">
        <f>IF('04_DATA'!A809="","",'04_DATA'!A809)</f>
        <v/>
      </c>
      <c r="C812" s="55">
        <f>IF('04_DATA'!A809="","",IF(AND('04_DATA'!G809=1,'04_DATA'!H809=1,'04_DATA'!I809&gt;=3),"eligible","EXCLUDE"))</f>
        <v/>
      </c>
      <c r="D812" s="55">
        <f>IF('04_DATA'!A809="","",37-COUNT('04_DATA'!$K809:$AU809))</f>
        <v/>
      </c>
      <c r="E812" s="63">
        <f>IF('04_DATA'!A809="","",(37-COUNT('04_DATA'!$K809:$AU809))/37)</f>
        <v/>
      </c>
      <c r="F812" s="55">
        <f>IF('04_DATA'!A809="","",IF(AND(COUNT('04_DATA'!$K809:$AU809)=37,COUNTIF('04_DATA'!$K809:$AU809,INDEX('04_DATA'!$K809:$AU809,1))=37),"EXCLUDE","ok"))</f>
        <v/>
      </c>
      <c r="G812" s="55">
        <f>IF('04_DATA'!A809="","",IF('04_DATA'!D809&lt;PERCENTILE('04_DATA'!$D$2:$D$1001,0.05),"FLAG","ok"))</f>
        <v/>
      </c>
      <c r="H812" s="55">
        <f>IF('04_DATA'!A809="","",IF(OR(C812="EXCLUDE",F812="EXCLUDE"),"Exclude under pre-specified rule",IF(E812&gt;0.15,"Exclude: &gt;15% missing",IF(G812="FLAG","Retain; test in robustness battery","Retain"))))</f>
        <v/>
      </c>
    </row>
    <row r="813">
      <c r="A813" s="55" t="n">
        <v>810</v>
      </c>
      <c r="B813" s="55">
        <f>IF('04_DATA'!A810="","",'04_DATA'!A810)</f>
        <v/>
      </c>
      <c r="C813" s="55">
        <f>IF('04_DATA'!A810="","",IF(AND('04_DATA'!G810=1,'04_DATA'!H810=1,'04_DATA'!I810&gt;=3),"eligible","EXCLUDE"))</f>
        <v/>
      </c>
      <c r="D813" s="55">
        <f>IF('04_DATA'!A810="","",37-COUNT('04_DATA'!$K810:$AU810))</f>
        <v/>
      </c>
      <c r="E813" s="63">
        <f>IF('04_DATA'!A810="","",(37-COUNT('04_DATA'!$K810:$AU810))/37)</f>
        <v/>
      </c>
      <c r="F813" s="55">
        <f>IF('04_DATA'!A810="","",IF(AND(COUNT('04_DATA'!$K810:$AU810)=37,COUNTIF('04_DATA'!$K810:$AU810,INDEX('04_DATA'!$K810:$AU810,1))=37),"EXCLUDE","ok"))</f>
        <v/>
      </c>
      <c r="G813" s="55">
        <f>IF('04_DATA'!A810="","",IF('04_DATA'!D810&lt;PERCENTILE('04_DATA'!$D$2:$D$1001,0.05),"FLAG","ok"))</f>
        <v/>
      </c>
      <c r="H813" s="55">
        <f>IF('04_DATA'!A810="","",IF(OR(C813="EXCLUDE",F813="EXCLUDE"),"Exclude under pre-specified rule",IF(E813&gt;0.15,"Exclude: &gt;15% missing",IF(G813="FLAG","Retain; test in robustness battery","Retain"))))</f>
        <v/>
      </c>
    </row>
    <row r="814">
      <c r="A814" s="55" t="n">
        <v>811</v>
      </c>
      <c r="B814" s="55">
        <f>IF('04_DATA'!A811="","",'04_DATA'!A811)</f>
        <v/>
      </c>
      <c r="C814" s="55">
        <f>IF('04_DATA'!A811="","",IF(AND('04_DATA'!G811=1,'04_DATA'!H811=1,'04_DATA'!I811&gt;=3),"eligible","EXCLUDE"))</f>
        <v/>
      </c>
      <c r="D814" s="55">
        <f>IF('04_DATA'!A811="","",37-COUNT('04_DATA'!$K811:$AU811))</f>
        <v/>
      </c>
      <c r="E814" s="63">
        <f>IF('04_DATA'!A811="","",(37-COUNT('04_DATA'!$K811:$AU811))/37)</f>
        <v/>
      </c>
      <c r="F814" s="55">
        <f>IF('04_DATA'!A811="","",IF(AND(COUNT('04_DATA'!$K811:$AU811)=37,COUNTIF('04_DATA'!$K811:$AU811,INDEX('04_DATA'!$K811:$AU811,1))=37),"EXCLUDE","ok"))</f>
        <v/>
      </c>
      <c r="G814" s="55">
        <f>IF('04_DATA'!A811="","",IF('04_DATA'!D811&lt;PERCENTILE('04_DATA'!$D$2:$D$1001,0.05),"FLAG","ok"))</f>
        <v/>
      </c>
      <c r="H814" s="55">
        <f>IF('04_DATA'!A811="","",IF(OR(C814="EXCLUDE",F814="EXCLUDE"),"Exclude under pre-specified rule",IF(E814&gt;0.15,"Exclude: &gt;15% missing",IF(G814="FLAG","Retain; test in robustness battery","Retain"))))</f>
        <v/>
      </c>
    </row>
    <row r="815">
      <c r="A815" s="55" t="n">
        <v>812</v>
      </c>
      <c r="B815" s="55">
        <f>IF('04_DATA'!A812="","",'04_DATA'!A812)</f>
        <v/>
      </c>
      <c r="C815" s="55">
        <f>IF('04_DATA'!A812="","",IF(AND('04_DATA'!G812=1,'04_DATA'!H812=1,'04_DATA'!I812&gt;=3),"eligible","EXCLUDE"))</f>
        <v/>
      </c>
      <c r="D815" s="55">
        <f>IF('04_DATA'!A812="","",37-COUNT('04_DATA'!$K812:$AU812))</f>
        <v/>
      </c>
      <c r="E815" s="63">
        <f>IF('04_DATA'!A812="","",(37-COUNT('04_DATA'!$K812:$AU812))/37)</f>
        <v/>
      </c>
      <c r="F815" s="55">
        <f>IF('04_DATA'!A812="","",IF(AND(COUNT('04_DATA'!$K812:$AU812)=37,COUNTIF('04_DATA'!$K812:$AU812,INDEX('04_DATA'!$K812:$AU812,1))=37),"EXCLUDE","ok"))</f>
        <v/>
      </c>
      <c r="G815" s="55">
        <f>IF('04_DATA'!A812="","",IF('04_DATA'!D812&lt;PERCENTILE('04_DATA'!$D$2:$D$1001,0.05),"FLAG","ok"))</f>
        <v/>
      </c>
      <c r="H815" s="55">
        <f>IF('04_DATA'!A812="","",IF(OR(C815="EXCLUDE",F815="EXCLUDE"),"Exclude under pre-specified rule",IF(E815&gt;0.15,"Exclude: &gt;15% missing",IF(G815="FLAG","Retain; test in robustness battery","Retain"))))</f>
        <v/>
      </c>
    </row>
    <row r="816">
      <c r="A816" s="55" t="n">
        <v>813</v>
      </c>
      <c r="B816" s="55">
        <f>IF('04_DATA'!A813="","",'04_DATA'!A813)</f>
        <v/>
      </c>
      <c r="C816" s="55">
        <f>IF('04_DATA'!A813="","",IF(AND('04_DATA'!G813=1,'04_DATA'!H813=1,'04_DATA'!I813&gt;=3),"eligible","EXCLUDE"))</f>
        <v/>
      </c>
      <c r="D816" s="55">
        <f>IF('04_DATA'!A813="","",37-COUNT('04_DATA'!$K813:$AU813))</f>
        <v/>
      </c>
      <c r="E816" s="63">
        <f>IF('04_DATA'!A813="","",(37-COUNT('04_DATA'!$K813:$AU813))/37)</f>
        <v/>
      </c>
      <c r="F816" s="55">
        <f>IF('04_DATA'!A813="","",IF(AND(COUNT('04_DATA'!$K813:$AU813)=37,COUNTIF('04_DATA'!$K813:$AU813,INDEX('04_DATA'!$K813:$AU813,1))=37),"EXCLUDE","ok"))</f>
        <v/>
      </c>
      <c r="G816" s="55">
        <f>IF('04_DATA'!A813="","",IF('04_DATA'!D813&lt;PERCENTILE('04_DATA'!$D$2:$D$1001,0.05),"FLAG","ok"))</f>
        <v/>
      </c>
      <c r="H816" s="55">
        <f>IF('04_DATA'!A813="","",IF(OR(C816="EXCLUDE",F816="EXCLUDE"),"Exclude under pre-specified rule",IF(E816&gt;0.15,"Exclude: &gt;15% missing",IF(G816="FLAG","Retain; test in robustness battery","Retain"))))</f>
        <v/>
      </c>
    </row>
    <row r="817">
      <c r="A817" s="55" t="n">
        <v>814</v>
      </c>
      <c r="B817" s="55">
        <f>IF('04_DATA'!A814="","",'04_DATA'!A814)</f>
        <v/>
      </c>
      <c r="C817" s="55">
        <f>IF('04_DATA'!A814="","",IF(AND('04_DATA'!G814=1,'04_DATA'!H814=1,'04_DATA'!I814&gt;=3),"eligible","EXCLUDE"))</f>
        <v/>
      </c>
      <c r="D817" s="55">
        <f>IF('04_DATA'!A814="","",37-COUNT('04_DATA'!$K814:$AU814))</f>
        <v/>
      </c>
      <c r="E817" s="63">
        <f>IF('04_DATA'!A814="","",(37-COUNT('04_DATA'!$K814:$AU814))/37)</f>
        <v/>
      </c>
      <c r="F817" s="55">
        <f>IF('04_DATA'!A814="","",IF(AND(COUNT('04_DATA'!$K814:$AU814)=37,COUNTIF('04_DATA'!$K814:$AU814,INDEX('04_DATA'!$K814:$AU814,1))=37),"EXCLUDE","ok"))</f>
        <v/>
      </c>
      <c r="G817" s="55">
        <f>IF('04_DATA'!A814="","",IF('04_DATA'!D814&lt;PERCENTILE('04_DATA'!$D$2:$D$1001,0.05),"FLAG","ok"))</f>
        <v/>
      </c>
      <c r="H817" s="55">
        <f>IF('04_DATA'!A814="","",IF(OR(C817="EXCLUDE",F817="EXCLUDE"),"Exclude under pre-specified rule",IF(E817&gt;0.15,"Exclude: &gt;15% missing",IF(G817="FLAG","Retain; test in robustness battery","Retain"))))</f>
        <v/>
      </c>
    </row>
    <row r="818">
      <c r="A818" s="55" t="n">
        <v>815</v>
      </c>
      <c r="B818" s="55">
        <f>IF('04_DATA'!A815="","",'04_DATA'!A815)</f>
        <v/>
      </c>
      <c r="C818" s="55">
        <f>IF('04_DATA'!A815="","",IF(AND('04_DATA'!G815=1,'04_DATA'!H815=1,'04_DATA'!I815&gt;=3),"eligible","EXCLUDE"))</f>
        <v/>
      </c>
      <c r="D818" s="55">
        <f>IF('04_DATA'!A815="","",37-COUNT('04_DATA'!$K815:$AU815))</f>
        <v/>
      </c>
      <c r="E818" s="63">
        <f>IF('04_DATA'!A815="","",(37-COUNT('04_DATA'!$K815:$AU815))/37)</f>
        <v/>
      </c>
      <c r="F818" s="55">
        <f>IF('04_DATA'!A815="","",IF(AND(COUNT('04_DATA'!$K815:$AU815)=37,COUNTIF('04_DATA'!$K815:$AU815,INDEX('04_DATA'!$K815:$AU815,1))=37),"EXCLUDE","ok"))</f>
        <v/>
      </c>
      <c r="G818" s="55">
        <f>IF('04_DATA'!A815="","",IF('04_DATA'!D815&lt;PERCENTILE('04_DATA'!$D$2:$D$1001,0.05),"FLAG","ok"))</f>
        <v/>
      </c>
      <c r="H818" s="55">
        <f>IF('04_DATA'!A815="","",IF(OR(C818="EXCLUDE",F818="EXCLUDE"),"Exclude under pre-specified rule",IF(E818&gt;0.15,"Exclude: &gt;15% missing",IF(G818="FLAG","Retain; test in robustness battery","Retain"))))</f>
        <v/>
      </c>
    </row>
    <row r="819">
      <c r="A819" s="55" t="n">
        <v>816</v>
      </c>
      <c r="B819" s="55">
        <f>IF('04_DATA'!A816="","",'04_DATA'!A816)</f>
        <v/>
      </c>
      <c r="C819" s="55">
        <f>IF('04_DATA'!A816="","",IF(AND('04_DATA'!G816=1,'04_DATA'!H816=1,'04_DATA'!I816&gt;=3),"eligible","EXCLUDE"))</f>
        <v/>
      </c>
      <c r="D819" s="55">
        <f>IF('04_DATA'!A816="","",37-COUNT('04_DATA'!$K816:$AU816))</f>
        <v/>
      </c>
      <c r="E819" s="63">
        <f>IF('04_DATA'!A816="","",(37-COUNT('04_DATA'!$K816:$AU816))/37)</f>
        <v/>
      </c>
      <c r="F819" s="55">
        <f>IF('04_DATA'!A816="","",IF(AND(COUNT('04_DATA'!$K816:$AU816)=37,COUNTIF('04_DATA'!$K816:$AU816,INDEX('04_DATA'!$K816:$AU816,1))=37),"EXCLUDE","ok"))</f>
        <v/>
      </c>
      <c r="G819" s="55">
        <f>IF('04_DATA'!A816="","",IF('04_DATA'!D816&lt;PERCENTILE('04_DATA'!$D$2:$D$1001,0.05),"FLAG","ok"))</f>
        <v/>
      </c>
      <c r="H819" s="55">
        <f>IF('04_DATA'!A816="","",IF(OR(C819="EXCLUDE",F819="EXCLUDE"),"Exclude under pre-specified rule",IF(E819&gt;0.15,"Exclude: &gt;15% missing",IF(G819="FLAG","Retain; test in robustness battery","Retain"))))</f>
        <v/>
      </c>
    </row>
    <row r="820">
      <c r="A820" s="55" t="n">
        <v>817</v>
      </c>
      <c r="B820" s="55">
        <f>IF('04_DATA'!A817="","",'04_DATA'!A817)</f>
        <v/>
      </c>
      <c r="C820" s="55">
        <f>IF('04_DATA'!A817="","",IF(AND('04_DATA'!G817=1,'04_DATA'!H817=1,'04_DATA'!I817&gt;=3),"eligible","EXCLUDE"))</f>
        <v/>
      </c>
      <c r="D820" s="55">
        <f>IF('04_DATA'!A817="","",37-COUNT('04_DATA'!$K817:$AU817))</f>
        <v/>
      </c>
      <c r="E820" s="63">
        <f>IF('04_DATA'!A817="","",(37-COUNT('04_DATA'!$K817:$AU817))/37)</f>
        <v/>
      </c>
      <c r="F820" s="55">
        <f>IF('04_DATA'!A817="","",IF(AND(COUNT('04_DATA'!$K817:$AU817)=37,COUNTIF('04_DATA'!$K817:$AU817,INDEX('04_DATA'!$K817:$AU817,1))=37),"EXCLUDE","ok"))</f>
        <v/>
      </c>
      <c r="G820" s="55">
        <f>IF('04_DATA'!A817="","",IF('04_DATA'!D817&lt;PERCENTILE('04_DATA'!$D$2:$D$1001,0.05),"FLAG","ok"))</f>
        <v/>
      </c>
      <c r="H820" s="55">
        <f>IF('04_DATA'!A817="","",IF(OR(C820="EXCLUDE",F820="EXCLUDE"),"Exclude under pre-specified rule",IF(E820&gt;0.15,"Exclude: &gt;15% missing",IF(G820="FLAG","Retain; test in robustness battery","Retain"))))</f>
        <v/>
      </c>
    </row>
    <row r="821">
      <c r="A821" s="55" t="n">
        <v>818</v>
      </c>
      <c r="B821" s="55">
        <f>IF('04_DATA'!A818="","",'04_DATA'!A818)</f>
        <v/>
      </c>
      <c r="C821" s="55">
        <f>IF('04_DATA'!A818="","",IF(AND('04_DATA'!G818=1,'04_DATA'!H818=1,'04_DATA'!I818&gt;=3),"eligible","EXCLUDE"))</f>
        <v/>
      </c>
      <c r="D821" s="55">
        <f>IF('04_DATA'!A818="","",37-COUNT('04_DATA'!$K818:$AU818))</f>
        <v/>
      </c>
      <c r="E821" s="63">
        <f>IF('04_DATA'!A818="","",(37-COUNT('04_DATA'!$K818:$AU818))/37)</f>
        <v/>
      </c>
      <c r="F821" s="55">
        <f>IF('04_DATA'!A818="","",IF(AND(COUNT('04_DATA'!$K818:$AU818)=37,COUNTIF('04_DATA'!$K818:$AU818,INDEX('04_DATA'!$K818:$AU818,1))=37),"EXCLUDE","ok"))</f>
        <v/>
      </c>
      <c r="G821" s="55">
        <f>IF('04_DATA'!A818="","",IF('04_DATA'!D818&lt;PERCENTILE('04_DATA'!$D$2:$D$1001,0.05),"FLAG","ok"))</f>
        <v/>
      </c>
      <c r="H821" s="55">
        <f>IF('04_DATA'!A818="","",IF(OR(C821="EXCLUDE",F821="EXCLUDE"),"Exclude under pre-specified rule",IF(E821&gt;0.15,"Exclude: &gt;15% missing",IF(G821="FLAG","Retain; test in robustness battery","Retain"))))</f>
        <v/>
      </c>
    </row>
    <row r="822">
      <c r="A822" s="55" t="n">
        <v>819</v>
      </c>
      <c r="B822" s="55">
        <f>IF('04_DATA'!A819="","",'04_DATA'!A819)</f>
        <v/>
      </c>
      <c r="C822" s="55">
        <f>IF('04_DATA'!A819="","",IF(AND('04_DATA'!G819=1,'04_DATA'!H819=1,'04_DATA'!I819&gt;=3),"eligible","EXCLUDE"))</f>
        <v/>
      </c>
      <c r="D822" s="55">
        <f>IF('04_DATA'!A819="","",37-COUNT('04_DATA'!$K819:$AU819))</f>
        <v/>
      </c>
      <c r="E822" s="63">
        <f>IF('04_DATA'!A819="","",(37-COUNT('04_DATA'!$K819:$AU819))/37)</f>
        <v/>
      </c>
      <c r="F822" s="55">
        <f>IF('04_DATA'!A819="","",IF(AND(COUNT('04_DATA'!$K819:$AU819)=37,COUNTIF('04_DATA'!$K819:$AU819,INDEX('04_DATA'!$K819:$AU819,1))=37),"EXCLUDE","ok"))</f>
        <v/>
      </c>
      <c r="G822" s="55">
        <f>IF('04_DATA'!A819="","",IF('04_DATA'!D819&lt;PERCENTILE('04_DATA'!$D$2:$D$1001,0.05),"FLAG","ok"))</f>
        <v/>
      </c>
      <c r="H822" s="55">
        <f>IF('04_DATA'!A819="","",IF(OR(C822="EXCLUDE",F822="EXCLUDE"),"Exclude under pre-specified rule",IF(E822&gt;0.15,"Exclude: &gt;15% missing",IF(G822="FLAG","Retain; test in robustness battery","Retain"))))</f>
        <v/>
      </c>
    </row>
    <row r="823">
      <c r="A823" s="55" t="n">
        <v>820</v>
      </c>
      <c r="B823" s="55">
        <f>IF('04_DATA'!A820="","",'04_DATA'!A820)</f>
        <v/>
      </c>
      <c r="C823" s="55">
        <f>IF('04_DATA'!A820="","",IF(AND('04_DATA'!G820=1,'04_DATA'!H820=1,'04_DATA'!I820&gt;=3),"eligible","EXCLUDE"))</f>
        <v/>
      </c>
      <c r="D823" s="55">
        <f>IF('04_DATA'!A820="","",37-COUNT('04_DATA'!$K820:$AU820))</f>
        <v/>
      </c>
      <c r="E823" s="63">
        <f>IF('04_DATA'!A820="","",(37-COUNT('04_DATA'!$K820:$AU820))/37)</f>
        <v/>
      </c>
      <c r="F823" s="55">
        <f>IF('04_DATA'!A820="","",IF(AND(COUNT('04_DATA'!$K820:$AU820)=37,COUNTIF('04_DATA'!$K820:$AU820,INDEX('04_DATA'!$K820:$AU820,1))=37),"EXCLUDE","ok"))</f>
        <v/>
      </c>
      <c r="G823" s="55">
        <f>IF('04_DATA'!A820="","",IF('04_DATA'!D820&lt;PERCENTILE('04_DATA'!$D$2:$D$1001,0.05),"FLAG","ok"))</f>
        <v/>
      </c>
      <c r="H823" s="55">
        <f>IF('04_DATA'!A820="","",IF(OR(C823="EXCLUDE",F823="EXCLUDE"),"Exclude under pre-specified rule",IF(E823&gt;0.15,"Exclude: &gt;15% missing",IF(G823="FLAG","Retain; test in robustness battery","Retain"))))</f>
        <v/>
      </c>
    </row>
    <row r="824">
      <c r="A824" s="55" t="n">
        <v>821</v>
      </c>
      <c r="B824" s="55">
        <f>IF('04_DATA'!A821="","",'04_DATA'!A821)</f>
        <v/>
      </c>
      <c r="C824" s="55">
        <f>IF('04_DATA'!A821="","",IF(AND('04_DATA'!G821=1,'04_DATA'!H821=1,'04_DATA'!I821&gt;=3),"eligible","EXCLUDE"))</f>
        <v/>
      </c>
      <c r="D824" s="55">
        <f>IF('04_DATA'!A821="","",37-COUNT('04_DATA'!$K821:$AU821))</f>
        <v/>
      </c>
      <c r="E824" s="63">
        <f>IF('04_DATA'!A821="","",(37-COUNT('04_DATA'!$K821:$AU821))/37)</f>
        <v/>
      </c>
      <c r="F824" s="55">
        <f>IF('04_DATA'!A821="","",IF(AND(COUNT('04_DATA'!$K821:$AU821)=37,COUNTIF('04_DATA'!$K821:$AU821,INDEX('04_DATA'!$K821:$AU821,1))=37),"EXCLUDE","ok"))</f>
        <v/>
      </c>
      <c r="G824" s="55">
        <f>IF('04_DATA'!A821="","",IF('04_DATA'!D821&lt;PERCENTILE('04_DATA'!$D$2:$D$1001,0.05),"FLAG","ok"))</f>
        <v/>
      </c>
      <c r="H824" s="55">
        <f>IF('04_DATA'!A821="","",IF(OR(C824="EXCLUDE",F824="EXCLUDE"),"Exclude under pre-specified rule",IF(E824&gt;0.15,"Exclude: &gt;15% missing",IF(G824="FLAG","Retain; test in robustness battery","Retain"))))</f>
        <v/>
      </c>
    </row>
    <row r="825">
      <c r="A825" s="55" t="n">
        <v>822</v>
      </c>
      <c r="B825" s="55">
        <f>IF('04_DATA'!A822="","",'04_DATA'!A822)</f>
        <v/>
      </c>
      <c r="C825" s="55">
        <f>IF('04_DATA'!A822="","",IF(AND('04_DATA'!G822=1,'04_DATA'!H822=1,'04_DATA'!I822&gt;=3),"eligible","EXCLUDE"))</f>
        <v/>
      </c>
      <c r="D825" s="55">
        <f>IF('04_DATA'!A822="","",37-COUNT('04_DATA'!$K822:$AU822))</f>
        <v/>
      </c>
      <c r="E825" s="63">
        <f>IF('04_DATA'!A822="","",(37-COUNT('04_DATA'!$K822:$AU822))/37)</f>
        <v/>
      </c>
      <c r="F825" s="55">
        <f>IF('04_DATA'!A822="","",IF(AND(COUNT('04_DATA'!$K822:$AU822)=37,COUNTIF('04_DATA'!$K822:$AU822,INDEX('04_DATA'!$K822:$AU822,1))=37),"EXCLUDE","ok"))</f>
        <v/>
      </c>
      <c r="G825" s="55">
        <f>IF('04_DATA'!A822="","",IF('04_DATA'!D822&lt;PERCENTILE('04_DATA'!$D$2:$D$1001,0.05),"FLAG","ok"))</f>
        <v/>
      </c>
      <c r="H825" s="55">
        <f>IF('04_DATA'!A822="","",IF(OR(C825="EXCLUDE",F825="EXCLUDE"),"Exclude under pre-specified rule",IF(E825&gt;0.15,"Exclude: &gt;15% missing",IF(G825="FLAG","Retain; test in robustness battery","Retain"))))</f>
        <v/>
      </c>
    </row>
    <row r="826">
      <c r="A826" s="55" t="n">
        <v>823</v>
      </c>
      <c r="B826" s="55">
        <f>IF('04_DATA'!A823="","",'04_DATA'!A823)</f>
        <v/>
      </c>
      <c r="C826" s="55">
        <f>IF('04_DATA'!A823="","",IF(AND('04_DATA'!G823=1,'04_DATA'!H823=1,'04_DATA'!I823&gt;=3),"eligible","EXCLUDE"))</f>
        <v/>
      </c>
      <c r="D826" s="55">
        <f>IF('04_DATA'!A823="","",37-COUNT('04_DATA'!$K823:$AU823))</f>
        <v/>
      </c>
      <c r="E826" s="63">
        <f>IF('04_DATA'!A823="","",(37-COUNT('04_DATA'!$K823:$AU823))/37)</f>
        <v/>
      </c>
      <c r="F826" s="55">
        <f>IF('04_DATA'!A823="","",IF(AND(COUNT('04_DATA'!$K823:$AU823)=37,COUNTIF('04_DATA'!$K823:$AU823,INDEX('04_DATA'!$K823:$AU823,1))=37),"EXCLUDE","ok"))</f>
        <v/>
      </c>
      <c r="G826" s="55">
        <f>IF('04_DATA'!A823="","",IF('04_DATA'!D823&lt;PERCENTILE('04_DATA'!$D$2:$D$1001,0.05),"FLAG","ok"))</f>
        <v/>
      </c>
      <c r="H826" s="55">
        <f>IF('04_DATA'!A823="","",IF(OR(C826="EXCLUDE",F826="EXCLUDE"),"Exclude under pre-specified rule",IF(E826&gt;0.15,"Exclude: &gt;15% missing",IF(G826="FLAG","Retain; test in robustness battery","Retain"))))</f>
        <v/>
      </c>
    </row>
    <row r="827">
      <c r="A827" s="55" t="n">
        <v>824</v>
      </c>
      <c r="B827" s="55">
        <f>IF('04_DATA'!A824="","",'04_DATA'!A824)</f>
        <v/>
      </c>
      <c r="C827" s="55">
        <f>IF('04_DATA'!A824="","",IF(AND('04_DATA'!G824=1,'04_DATA'!H824=1,'04_DATA'!I824&gt;=3),"eligible","EXCLUDE"))</f>
        <v/>
      </c>
      <c r="D827" s="55">
        <f>IF('04_DATA'!A824="","",37-COUNT('04_DATA'!$K824:$AU824))</f>
        <v/>
      </c>
      <c r="E827" s="63">
        <f>IF('04_DATA'!A824="","",(37-COUNT('04_DATA'!$K824:$AU824))/37)</f>
        <v/>
      </c>
      <c r="F827" s="55">
        <f>IF('04_DATA'!A824="","",IF(AND(COUNT('04_DATA'!$K824:$AU824)=37,COUNTIF('04_DATA'!$K824:$AU824,INDEX('04_DATA'!$K824:$AU824,1))=37),"EXCLUDE","ok"))</f>
        <v/>
      </c>
      <c r="G827" s="55">
        <f>IF('04_DATA'!A824="","",IF('04_DATA'!D824&lt;PERCENTILE('04_DATA'!$D$2:$D$1001,0.05),"FLAG","ok"))</f>
        <v/>
      </c>
      <c r="H827" s="55">
        <f>IF('04_DATA'!A824="","",IF(OR(C827="EXCLUDE",F827="EXCLUDE"),"Exclude under pre-specified rule",IF(E827&gt;0.15,"Exclude: &gt;15% missing",IF(G827="FLAG","Retain; test in robustness battery","Retain"))))</f>
        <v/>
      </c>
    </row>
    <row r="828">
      <c r="A828" s="55" t="n">
        <v>825</v>
      </c>
      <c r="B828" s="55">
        <f>IF('04_DATA'!A825="","",'04_DATA'!A825)</f>
        <v/>
      </c>
      <c r="C828" s="55">
        <f>IF('04_DATA'!A825="","",IF(AND('04_DATA'!G825=1,'04_DATA'!H825=1,'04_DATA'!I825&gt;=3),"eligible","EXCLUDE"))</f>
        <v/>
      </c>
      <c r="D828" s="55">
        <f>IF('04_DATA'!A825="","",37-COUNT('04_DATA'!$K825:$AU825))</f>
        <v/>
      </c>
      <c r="E828" s="63">
        <f>IF('04_DATA'!A825="","",(37-COUNT('04_DATA'!$K825:$AU825))/37)</f>
        <v/>
      </c>
      <c r="F828" s="55">
        <f>IF('04_DATA'!A825="","",IF(AND(COUNT('04_DATA'!$K825:$AU825)=37,COUNTIF('04_DATA'!$K825:$AU825,INDEX('04_DATA'!$K825:$AU825,1))=37),"EXCLUDE","ok"))</f>
        <v/>
      </c>
      <c r="G828" s="55">
        <f>IF('04_DATA'!A825="","",IF('04_DATA'!D825&lt;PERCENTILE('04_DATA'!$D$2:$D$1001,0.05),"FLAG","ok"))</f>
        <v/>
      </c>
      <c r="H828" s="55">
        <f>IF('04_DATA'!A825="","",IF(OR(C828="EXCLUDE",F828="EXCLUDE"),"Exclude under pre-specified rule",IF(E828&gt;0.15,"Exclude: &gt;15% missing",IF(G828="FLAG","Retain; test in robustness battery","Retain"))))</f>
        <v/>
      </c>
    </row>
    <row r="829">
      <c r="A829" s="55" t="n">
        <v>826</v>
      </c>
      <c r="B829" s="55">
        <f>IF('04_DATA'!A826="","",'04_DATA'!A826)</f>
        <v/>
      </c>
      <c r="C829" s="55">
        <f>IF('04_DATA'!A826="","",IF(AND('04_DATA'!G826=1,'04_DATA'!H826=1,'04_DATA'!I826&gt;=3),"eligible","EXCLUDE"))</f>
        <v/>
      </c>
      <c r="D829" s="55">
        <f>IF('04_DATA'!A826="","",37-COUNT('04_DATA'!$K826:$AU826))</f>
        <v/>
      </c>
      <c r="E829" s="63">
        <f>IF('04_DATA'!A826="","",(37-COUNT('04_DATA'!$K826:$AU826))/37)</f>
        <v/>
      </c>
      <c r="F829" s="55">
        <f>IF('04_DATA'!A826="","",IF(AND(COUNT('04_DATA'!$K826:$AU826)=37,COUNTIF('04_DATA'!$K826:$AU826,INDEX('04_DATA'!$K826:$AU826,1))=37),"EXCLUDE","ok"))</f>
        <v/>
      </c>
      <c r="G829" s="55">
        <f>IF('04_DATA'!A826="","",IF('04_DATA'!D826&lt;PERCENTILE('04_DATA'!$D$2:$D$1001,0.05),"FLAG","ok"))</f>
        <v/>
      </c>
      <c r="H829" s="55">
        <f>IF('04_DATA'!A826="","",IF(OR(C829="EXCLUDE",F829="EXCLUDE"),"Exclude under pre-specified rule",IF(E829&gt;0.15,"Exclude: &gt;15% missing",IF(G829="FLAG","Retain; test in robustness battery","Retain"))))</f>
        <v/>
      </c>
    </row>
    <row r="830">
      <c r="A830" s="55" t="n">
        <v>827</v>
      </c>
      <c r="B830" s="55">
        <f>IF('04_DATA'!A827="","",'04_DATA'!A827)</f>
        <v/>
      </c>
      <c r="C830" s="55">
        <f>IF('04_DATA'!A827="","",IF(AND('04_DATA'!G827=1,'04_DATA'!H827=1,'04_DATA'!I827&gt;=3),"eligible","EXCLUDE"))</f>
        <v/>
      </c>
      <c r="D830" s="55">
        <f>IF('04_DATA'!A827="","",37-COUNT('04_DATA'!$K827:$AU827))</f>
        <v/>
      </c>
      <c r="E830" s="63">
        <f>IF('04_DATA'!A827="","",(37-COUNT('04_DATA'!$K827:$AU827))/37)</f>
        <v/>
      </c>
      <c r="F830" s="55">
        <f>IF('04_DATA'!A827="","",IF(AND(COUNT('04_DATA'!$K827:$AU827)=37,COUNTIF('04_DATA'!$K827:$AU827,INDEX('04_DATA'!$K827:$AU827,1))=37),"EXCLUDE","ok"))</f>
        <v/>
      </c>
      <c r="G830" s="55">
        <f>IF('04_DATA'!A827="","",IF('04_DATA'!D827&lt;PERCENTILE('04_DATA'!$D$2:$D$1001,0.05),"FLAG","ok"))</f>
        <v/>
      </c>
      <c r="H830" s="55">
        <f>IF('04_DATA'!A827="","",IF(OR(C830="EXCLUDE",F830="EXCLUDE"),"Exclude under pre-specified rule",IF(E830&gt;0.15,"Exclude: &gt;15% missing",IF(G830="FLAG","Retain; test in robustness battery","Retain"))))</f>
        <v/>
      </c>
    </row>
    <row r="831">
      <c r="A831" s="55" t="n">
        <v>828</v>
      </c>
      <c r="B831" s="55">
        <f>IF('04_DATA'!A828="","",'04_DATA'!A828)</f>
        <v/>
      </c>
      <c r="C831" s="55">
        <f>IF('04_DATA'!A828="","",IF(AND('04_DATA'!G828=1,'04_DATA'!H828=1,'04_DATA'!I828&gt;=3),"eligible","EXCLUDE"))</f>
        <v/>
      </c>
      <c r="D831" s="55">
        <f>IF('04_DATA'!A828="","",37-COUNT('04_DATA'!$K828:$AU828))</f>
        <v/>
      </c>
      <c r="E831" s="63">
        <f>IF('04_DATA'!A828="","",(37-COUNT('04_DATA'!$K828:$AU828))/37)</f>
        <v/>
      </c>
      <c r="F831" s="55">
        <f>IF('04_DATA'!A828="","",IF(AND(COUNT('04_DATA'!$K828:$AU828)=37,COUNTIF('04_DATA'!$K828:$AU828,INDEX('04_DATA'!$K828:$AU828,1))=37),"EXCLUDE","ok"))</f>
        <v/>
      </c>
      <c r="G831" s="55">
        <f>IF('04_DATA'!A828="","",IF('04_DATA'!D828&lt;PERCENTILE('04_DATA'!$D$2:$D$1001,0.05),"FLAG","ok"))</f>
        <v/>
      </c>
      <c r="H831" s="55">
        <f>IF('04_DATA'!A828="","",IF(OR(C831="EXCLUDE",F831="EXCLUDE"),"Exclude under pre-specified rule",IF(E831&gt;0.15,"Exclude: &gt;15% missing",IF(G831="FLAG","Retain; test in robustness battery","Retain"))))</f>
        <v/>
      </c>
    </row>
    <row r="832">
      <c r="A832" s="55" t="n">
        <v>829</v>
      </c>
      <c r="B832" s="55">
        <f>IF('04_DATA'!A829="","",'04_DATA'!A829)</f>
        <v/>
      </c>
      <c r="C832" s="55">
        <f>IF('04_DATA'!A829="","",IF(AND('04_DATA'!G829=1,'04_DATA'!H829=1,'04_DATA'!I829&gt;=3),"eligible","EXCLUDE"))</f>
        <v/>
      </c>
      <c r="D832" s="55">
        <f>IF('04_DATA'!A829="","",37-COUNT('04_DATA'!$K829:$AU829))</f>
        <v/>
      </c>
      <c r="E832" s="63">
        <f>IF('04_DATA'!A829="","",(37-COUNT('04_DATA'!$K829:$AU829))/37)</f>
        <v/>
      </c>
      <c r="F832" s="55">
        <f>IF('04_DATA'!A829="","",IF(AND(COUNT('04_DATA'!$K829:$AU829)=37,COUNTIF('04_DATA'!$K829:$AU829,INDEX('04_DATA'!$K829:$AU829,1))=37),"EXCLUDE","ok"))</f>
        <v/>
      </c>
      <c r="G832" s="55">
        <f>IF('04_DATA'!A829="","",IF('04_DATA'!D829&lt;PERCENTILE('04_DATA'!$D$2:$D$1001,0.05),"FLAG","ok"))</f>
        <v/>
      </c>
      <c r="H832" s="55">
        <f>IF('04_DATA'!A829="","",IF(OR(C832="EXCLUDE",F832="EXCLUDE"),"Exclude under pre-specified rule",IF(E832&gt;0.15,"Exclude: &gt;15% missing",IF(G832="FLAG","Retain; test in robustness battery","Retain"))))</f>
        <v/>
      </c>
    </row>
    <row r="833">
      <c r="A833" s="55" t="n">
        <v>830</v>
      </c>
      <c r="B833" s="55">
        <f>IF('04_DATA'!A830="","",'04_DATA'!A830)</f>
        <v/>
      </c>
      <c r="C833" s="55">
        <f>IF('04_DATA'!A830="","",IF(AND('04_DATA'!G830=1,'04_DATA'!H830=1,'04_DATA'!I830&gt;=3),"eligible","EXCLUDE"))</f>
        <v/>
      </c>
      <c r="D833" s="55">
        <f>IF('04_DATA'!A830="","",37-COUNT('04_DATA'!$K830:$AU830))</f>
        <v/>
      </c>
      <c r="E833" s="63">
        <f>IF('04_DATA'!A830="","",(37-COUNT('04_DATA'!$K830:$AU830))/37)</f>
        <v/>
      </c>
      <c r="F833" s="55">
        <f>IF('04_DATA'!A830="","",IF(AND(COUNT('04_DATA'!$K830:$AU830)=37,COUNTIF('04_DATA'!$K830:$AU830,INDEX('04_DATA'!$K830:$AU830,1))=37),"EXCLUDE","ok"))</f>
        <v/>
      </c>
      <c r="G833" s="55">
        <f>IF('04_DATA'!A830="","",IF('04_DATA'!D830&lt;PERCENTILE('04_DATA'!$D$2:$D$1001,0.05),"FLAG","ok"))</f>
        <v/>
      </c>
      <c r="H833" s="55">
        <f>IF('04_DATA'!A830="","",IF(OR(C833="EXCLUDE",F833="EXCLUDE"),"Exclude under pre-specified rule",IF(E833&gt;0.15,"Exclude: &gt;15% missing",IF(G833="FLAG","Retain; test in robustness battery","Retain"))))</f>
        <v/>
      </c>
    </row>
    <row r="834">
      <c r="A834" s="55" t="n">
        <v>831</v>
      </c>
      <c r="B834" s="55">
        <f>IF('04_DATA'!A831="","",'04_DATA'!A831)</f>
        <v/>
      </c>
      <c r="C834" s="55">
        <f>IF('04_DATA'!A831="","",IF(AND('04_DATA'!G831=1,'04_DATA'!H831=1,'04_DATA'!I831&gt;=3),"eligible","EXCLUDE"))</f>
        <v/>
      </c>
      <c r="D834" s="55">
        <f>IF('04_DATA'!A831="","",37-COUNT('04_DATA'!$K831:$AU831))</f>
        <v/>
      </c>
      <c r="E834" s="63">
        <f>IF('04_DATA'!A831="","",(37-COUNT('04_DATA'!$K831:$AU831))/37)</f>
        <v/>
      </c>
      <c r="F834" s="55">
        <f>IF('04_DATA'!A831="","",IF(AND(COUNT('04_DATA'!$K831:$AU831)=37,COUNTIF('04_DATA'!$K831:$AU831,INDEX('04_DATA'!$K831:$AU831,1))=37),"EXCLUDE","ok"))</f>
        <v/>
      </c>
      <c r="G834" s="55">
        <f>IF('04_DATA'!A831="","",IF('04_DATA'!D831&lt;PERCENTILE('04_DATA'!$D$2:$D$1001,0.05),"FLAG","ok"))</f>
        <v/>
      </c>
      <c r="H834" s="55">
        <f>IF('04_DATA'!A831="","",IF(OR(C834="EXCLUDE",F834="EXCLUDE"),"Exclude under pre-specified rule",IF(E834&gt;0.15,"Exclude: &gt;15% missing",IF(G834="FLAG","Retain; test in robustness battery","Retain"))))</f>
        <v/>
      </c>
    </row>
    <row r="835">
      <c r="A835" s="55" t="n">
        <v>832</v>
      </c>
      <c r="B835" s="55">
        <f>IF('04_DATA'!A832="","",'04_DATA'!A832)</f>
        <v/>
      </c>
      <c r="C835" s="55">
        <f>IF('04_DATA'!A832="","",IF(AND('04_DATA'!G832=1,'04_DATA'!H832=1,'04_DATA'!I832&gt;=3),"eligible","EXCLUDE"))</f>
        <v/>
      </c>
      <c r="D835" s="55">
        <f>IF('04_DATA'!A832="","",37-COUNT('04_DATA'!$K832:$AU832))</f>
        <v/>
      </c>
      <c r="E835" s="63">
        <f>IF('04_DATA'!A832="","",(37-COUNT('04_DATA'!$K832:$AU832))/37)</f>
        <v/>
      </c>
      <c r="F835" s="55">
        <f>IF('04_DATA'!A832="","",IF(AND(COUNT('04_DATA'!$K832:$AU832)=37,COUNTIF('04_DATA'!$K832:$AU832,INDEX('04_DATA'!$K832:$AU832,1))=37),"EXCLUDE","ok"))</f>
        <v/>
      </c>
      <c r="G835" s="55">
        <f>IF('04_DATA'!A832="","",IF('04_DATA'!D832&lt;PERCENTILE('04_DATA'!$D$2:$D$1001,0.05),"FLAG","ok"))</f>
        <v/>
      </c>
      <c r="H835" s="55">
        <f>IF('04_DATA'!A832="","",IF(OR(C835="EXCLUDE",F835="EXCLUDE"),"Exclude under pre-specified rule",IF(E835&gt;0.15,"Exclude: &gt;15% missing",IF(G835="FLAG","Retain; test in robustness battery","Retain"))))</f>
        <v/>
      </c>
    </row>
    <row r="836">
      <c r="A836" s="55" t="n">
        <v>833</v>
      </c>
      <c r="B836" s="55">
        <f>IF('04_DATA'!A833="","",'04_DATA'!A833)</f>
        <v/>
      </c>
      <c r="C836" s="55">
        <f>IF('04_DATA'!A833="","",IF(AND('04_DATA'!G833=1,'04_DATA'!H833=1,'04_DATA'!I833&gt;=3),"eligible","EXCLUDE"))</f>
        <v/>
      </c>
      <c r="D836" s="55">
        <f>IF('04_DATA'!A833="","",37-COUNT('04_DATA'!$K833:$AU833))</f>
        <v/>
      </c>
      <c r="E836" s="63">
        <f>IF('04_DATA'!A833="","",(37-COUNT('04_DATA'!$K833:$AU833))/37)</f>
        <v/>
      </c>
      <c r="F836" s="55">
        <f>IF('04_DATA'!A833="","",IF(AND(COUNT('04_DATA'!$K833:$AU833)=37,COUNTIF('04_DATA'!$K833:$AU833,INDEX('04_DATA'!$K833:$AU833,1))=37),"EXCLUDE","ok"))</f>
        <v/>
      </c>
      <c r="G836" s="55">
        <f>IF('04_DATA'!A833="","",IF('04_DATA'!D833&lt;PERCENTILE('04_DATA'!$D$2:$D$1001,0.05),"FLAG","ok"))</f>
        <v/>
      </c>
      <c r="H836" s="55">
        <f>IF('04_DATA'!A833="","",IF(OR(C836="EXCLUDE",F836="EXCLUDE"),"Exclude under pre-specified rule",IF(E836&gt;0.15,"Exclude: &gt;15% missing",IF(G836="FLAG","Retain; test in robustness battery","Retain"))))</f>
        <v/>
      </c>
    </row>
    <row r="837">
      <c r="A837" s="55" t="n">
        <v>834</v>
      </c>
      <c r="B837" s="55">
        <f>IF('04_DATA'!A834="","",'04_DATA'!A834)</f>
        <v/>
      </c>
      <c r="C837" s="55">
        <f>IF('04_DATA'!A834="","",IF(AND('04_DATA'!G834=1,'04_DATA'!H834=1,'04_DATA'!I834&gt;=3),"eligible","EXCLUDE"))</f>
        <v/>
      </c>
      <c r="D837" s="55">
        <f>IF('04_DATA'!A834="","",37-COUNT('04_DATA'!$K834:$AU834))</f>
        <v/>
      </c>
      <c r="E837" s="63">
        <f>IF('04_DATA'!A834="","",(37-COUNT('04_DATA'!$K834:$AU834))/37)</f>
        <v/>
      </c>
      <c r="F837" s="55">
        <f>IF('04_DATA'!A834="","",IF(AND(COUNT('04_DATA'!$K834:$AU834)=37,COUNTIF('04_DATA'!$K834:$AU834,INDEX('04_DATA'!$K834:$AU834,1))=37),"EXCLUDE","ok"))</f>
        <v/>
      </c>
      <c r="G837" s="55">
        <f>IF('04_DATA'!A834="","",IF('04_DATA'!D834&lt;PERCENTILE('04_DATA'!$D$2:$D$1001,0.05),"FLAG","ok"))</f>
        <v/>
      </c>
      <c r="H837" s="55">
        <f>IF('04_DATA'!A834="","",IF(OR(C837="EXCLUDE",F837="EXCLUDE"),"Exclude under pre-specified rule",IF(E837&gt;0.15,"Exclude: &gt;15% missing",IF(G837="FLAG","Retain; test in robustness battery","Retain"))))</f>
        <v/>
      </c>
    </row>
    <row r="838">
      <c r="A838" s="55" t="n">
        <v>835</v>
      </c>
      <c r="B838" s="55">
        <f>IF('04_DATA'!A835="","",'04_DATA'!A835)</f>
        <v/>
      </c>
      <c r="C838" s="55">
        <f>IF('04_DATA'!A835="","",IF(AND('04_DATA'!G835=1,'04_DATA'!H835=1,'04_DATA'!I835&gt;=3),"eligible","EXCLUDE"))</f>
        <v/>
      </c>
      <c r="D838" s="55">
        <f>IF('04_DATA'!A835="","",37-COUNT('04_DATA'!$K835:$AU835))</f>
        <v/>
      </c>
      <c r="E838" s="63">
        <f>IF('04_DATA'!A835="","",(37-COUNT('04_DATA'!$K835:$AU835))/37)</f>
        <v/>
      </c>
      <c r="F838" s="55">
        <f>IF('04_DATA'!A835="","",IF(AND(COUNT('04_DATA'!$K835:$AU835)=37,COUNTIF('04_DATA'!$K835:$AU835,INDEX('04_DATA'!$K835:$AU835,1))=37),"EXCLUDE","ok"))</f>
        <v/>
      </c>
      <c r="G838" s="55">
        <f>IF('04_DATA'!A835="","",IF('04_DATA'!D835&lt;PERCENTILE('04_DATA'!$D$2:$D$1001,0.05),"FLAG","ok"))</f>
        <v/>
      </c>
      <c r="H838" s="55">
        <f>IF('04_DATA'!A835="","",IF(OR(C838="EXCLUDE",F838="EXCLUDE"),"Exclude under pre-specified rule",IF(E838&gt;0.15,"Exclude: &gt;15% missing",IF(G838="FLAG","Retain; test in robustness battery","Retain"))))</f>
        <v/>
      </c>
    </row>
    <row r="839">
      <c r="A839" s="55" t="n">
        <v>836</v>
      </c>
      <c r="B839" s="55">
        <f>IF('04_DATA'!A836="","",'04_DATA'!A836)</f>
        <v/>
      </c>
      <c r="C839" s="55">
        <f>IF('04_DATA'!A836="","",IF(AND('04_DATA'!G836=1,'04_DATA'!H836=1,'04_DATA'!I836&gt;=3),"eligible","EXCLUDE"))</f>
        <v/>
      </c>
      <c r="D839" s="55">
        <f>IF('04_DATA'!A836="","",37-COUNT('04_DATA'!$K836:$AU836))</f>
        <v/>
      </c>
      <c r="E839" s="63">
        <f>IF('04_DATA'!A836="","",(37-COUNT('04_DATA'!$K836:$AU836))/37)</f>
        <v/>
      </c>
      <c r="F839" s="55">
        <f>IF('04_DATA'!A836="","",IF(AND(COUNT('04_DATA'!$K836:$AU836)=37,COUNTIF('04_DATA'!$K836:$AU836,INDEX('04_DATA'!$K836:$AU836,1))=37),"EXCLUDE","ok"))</f>
        <v/>
      </c>
      <c r="G839" s="55">
        <f>IF('04_DATA'!A836="","",IF('04_DATA'!D836&lt;PERCENTILE('04_DATA'!$D$2:$D$1001,0.05),"FLAG","ok"))</f>
        <v/>
      </c>
      <c r="H839" s="55">
        <f>IF('04_DATA'!A836="","",IF(OR(C839="EXCLUDE",F839="EXCLUDE"),"Exclude under pre-specified rule",IF(E839&gt;0.15,"Exclude: &gt;15% missing",IF(G839="FLAG","Retain; test in robustness battery","Retain"))))</f>
        <v/>
      </c>
    </row>
    <row r="840">
      <c r="A840" s="55" t="n">
        <v>837</v>
      </c>
      <c r="B840" s="55">
        <f>IF('04_DATA'!A837="","",'04_DATA'!A837)</f>
        <v/>
      </c>
      <c r="C840" s="55">
        <f>IF('04_DATA'!A837="","",IF(AND('04_DATA'!G837=1,'04_DATA'!H837=1,'04_DATA'!I837&gt;=3),"eligible","EXCLUDE"))</f>
        <v/>
      </c>
      <c r="D840" s="55">
        <f>IF('04_DATA'!A837="","",37-COUNT('04_DATA'!$K837:$AU837))</f>
        <v/>
      </c>
      <c r="E840" s="63">
        <f>IF('04_DATA'!A837="","",(37-COUNT('04_DATA'!$K837:$AU837))/37)</f>
        <v/>
      </c>
      <c r="F840" s="55">
        <f>IF('04_DATA'!A837="","",IF(AND(COUNT('04_DATA'!$K837:$AU837)=37,COUNTIF('04_DATA'!$K837:$AU837,INDEX('04_DATA'!$K837:$AU837,1))=37),"EXCLUDE","ok"))</f>
        <v/>
      </c>
      <c r="G840" s="55">
        <f>IF('04_DATA'!A837="","",IF('04_DATA'!D837&lt;PERCENTILE('04_DATA'!$D$2:$D$1001,0.05),"FLAG","ok"))</f>
        <v/>
      </c>
      <c r="H840" s="55">
        <f>IF('04_DATA'!A837="","",IF(OR(C840="EXCLUDE",F840="EXCLUDE"),"Exclude under pre-specified rule",IF(E840&gt;0.15,"Exclude: &gt;15% missing",IF(G840="FLAG","Retain; test in robustness battery","Retain"))))</f>
        <v/>
      </c>
    </row>
    <row r="841">
      <c r="A841" s="55" t="n">
        <v>838</v>
      </c>
      <c r="B841" s="55">
        <f>IF('04_DATA'!A838="","",'04_DATA'!A838)</f>
        <v/>
      </c>
      <c r="C841" s="55">
        <f>IF('04_DATA'!A838="","",IF(AND('04_DATA'!G838=1,'04_DATA'!H838=1,'04_DATA'!I838&gt;=3),"eligible","EXCLUDE"))</f>
        <v/>
      </c>
      <c r="D841" s="55">
        <f>IF('04_DATA'!A838="","",37-COUNT('04_DATA'!$K838:$AU838))</f>
        <v/>
      </c>
      <c r="E841" s="63">
        <f>IF('04_DATA'!A838="","",(37-COUNT('04_DATA'!$K838:$AU838))/37)</f>
        <v/>
      </c>
      <c r="F841" s="55">
        <f>IF('04_DATA'!A838="","",IF(AND(COUNT('04_DATA'!$K838:$AU838)=37,COUNTIF('04_DATA'!$K838:$AU838,INDEX('04_DATA'!$K838:$AU838,1))=37),"EXCLUDE","ok"))</f>
        <v/>
      </c>
      <c r="G841" s="55">
        <f>IF('04_DATA'!A838="","",IF('04_DATA'!D838&lt;PERCENTILE('04_DATA'!$D$2:$D$1001,0.05),"FLAG","ok"))</f>
        <v/>
      </c>
      <c r="H841" s="55">
        <f>IF('04_DATA'!A838="","",IF(OR(C841="EXCLUDE",F841="EXCLUDE"),"Exclude under pre-specified rule",IF(E841&gt;0.15,"Exclude: &gt;15% missing",IF(G841="FLAG","Retain; test in robustness battery","Retain"))))</f>
        <v/>
      </c>
    </row>
    <row r="842">
      <c r="A842" s="55" t="n">
        <v>839</v>
      </c>
      <c r="B842" s="55">
        <f>IF('04_DATA'!A839="","",'04_DATA'!A839)</f>
        <v/>
      </c>
      <c r="C842" s="55">
        <f>IF('04_DATA'!A839="","",IF(AND('04_DATA'!G839=1,'04_DATA'!H839=1,'04_DATA'!I839&gt;=3),"eligible","EXCLUDE"))</f>
        <v/>
      </c>
      <c r="D842" s="55">
        <f>IF('04_DATA'!A839="","",37-COUNT('04_DATA'!$K839:$AU839))</f>
        <v/>
      </c>
      <c r="E842" s="63">
        <f>IF('04_DATA'!A839="","",(37-COUNT('04_DATA'!$K839:$AU839))/37)</f>
        <v/>
      </c>
      <c r="F842" s="55">
        <f>IF('04_DATA'!A839="","",IF(AND(COUNT('04_DATA'!$K839:$AU839)=37,COUNTIF('04_DATA'!$K839:$AU839,INDEX('04_DATA'!$K839:$AU839,1))=37),"EXCLUDE","ok"))</f>
        <v/>
      </c>
      <c r="G842" s="55">
        <f>IF('04_DATA'!A839="","",IF('04_DATA'!D839&lt;PERCENTILE('04_DATA'!$D$2:$D$1001,0.05),"FLAG","ok"))</f>
        <v/>
      </c>
      <c r="H842" s="55">
        <f>IF('04_DATA'!A839="","",IF(OR(C842="EXCLUDE",F842="EXCLUDE"),"Exclude under pre-specified rule",IF(E842&gt;0.15,"Exclude: &gt;15% missing",IF(G842="FLAG","Retain; test in robustness battery","Retain"))))</f>
        <v/>
      </c>
    </row>
    <row r="843">
      <c r="A843" s="55" t="n">
        <v>840</v>
      </c>
      <c r="B843" s="55">
        <f>IF('04_DATA'!A840="","",'04_DATA'!A840)</f>
        <v/>
      </c>
      <c r="C843" s="55">
        <f>IF('04_DATA'!A840="","",IF(AND('04_DATA'!G840=1,'04_DATA'!H840=1,'04_DATA'!I840&gt;=3),"eligible","EXCLUDE"))</f>
        <v/>
      </c>
      <c r="D843" s="55">
        <f>IF('04_DATA'!A840="","",37-COUNT('04_DATA'!$K840:$AU840))</f>
        <v/>
      </c>
      <c r="E843" s="63">
        <f>IF('04_DATA'!A840="","",(37-COUNT('04_DATA'!$K840:$AU840))/37)</f>
        <v/>
      </c>
      <c r="F843" s="55">
        <f>IF('04_DATA'!A840="","",IF(AND(COUNT('04_DATA'!$K840:$AU840)=37,COUNTIF('04_DATA'!$K840:$AU840,INDEX('04_DATA'!$K840:$AU840,1))=37),"EXCLUDE","ok"))</f>
        <v/>
      </c>
      <c r="G843" s="55">
        <f>IF('04_DATA'!A840="","",IF('04_DATA'!D840&lt;PERCENTILE('04_DATA'!$D$2:$D$1001,0.05),"FLAG","ok"))</f>
        <v/>
      </c>
      <c r="H843" s="55">
        <f>IF('04_DATA'!A840="","",IF(OR(C843="EXCLUDE",F843="EXCLUDE"),"Exclude under pre-specified rule",IF(E843&gt;0.15,"Exclude: &gt;15% missing",IF(G843="FLAG","Retain; test in robustness battery","Retain"))))</f>
        <v/>
      </c>
    </row>
    <row r="844">
      <c r="A844" s="55" t="n">
        <v>841</v>
      </c>
      <c r="B844" s="55">
        <f>IF('04_DATA'!A841="","",'04_DATA'!A841)</f>
        <v/>
      </c>
      <c r="C844" s="55">
        <f>IF('04_DATA'!A841="","",IF(AND('04_DATA'!G841=1,'04_DATA'!H841=1,'04_DATA'!I841&gt;=3),"eligible","EXCLUDE"))</f>
        <v/>
      </c>
      <c r="D844" s="55">
        <f>IF('04_DATA'!A841="","",37-COUNT('04_DATA'!$K841:$AU841))</f>
        <v/>
      </c>
      <c r="E844" s="63">
        <f>IF('04_DATA'!A841="","",(37-COUNT('04_DATA'!$K841:$AU841))/37)</f>
        <v/>
      </c>
      <c r="F844" s="55">
        <f>IF('04_DATA'!A841="","",IF(AND(COUNT('04_DATA'!$K841:$AU841)=37,COUNTIF('04_DATA'!$K841:$AU841,INDEX('04_DATA'!$K841:$AU841,1))=37),"EXCLUDE","ok"))</f>
        <v/>
      </c>
      <c r="G844" s="55">
        <f>IF('04_DATA'!A841="","",IF('04_DATA'!D841&lt;PERCENTILE('04_DATA'!$D$2:$D$1001,0.05),"FLAG","ok"))</f>
        <v/>
      </c>
      <c r="H844" s="55">
        <f>IF('04_DATA'!A841="","",IF(OR(C844="EXCLUDE",F844="EXCLUDE"),"Exclude under pre-specified rule",IF(E844&gt;0.15,"Exclude: &gt;15% missing",IF(G844="FLAG","Retain; test in robustness battery","Retain"))))</f>
        <v/>
      </c>
    </row>
    <row r="845">
      <c r="A845" s="55" t="n">
        <v>842</v>
      </c>
      <c r="B845" s="55">
        <f>IF('04_DATA'!A842="","",'04_DATA'!A842)</f>
        <v/>
      </c>
      <c r="C845" s="55">
        <f>IF('04_DATA'!A842="","",IF(AND('04_DATA'!G842=1,'04_DATA'!H842=1,'04_DATA'!I842&gt;=3),"eligible","EXCLUDE"))</f>
        <v/>
      </c>
      <c r="D845" s="55">
        <f>IF('04_DATA'!A842="","",37-COUNT('04_DATA'!$K842:$AU842))</f>
        <v/>
      </c>
      <c r="E845" s="63">
        <f>IF('04_DATA'!A842="","",(37-COUNT('04_DATA'!$K842:$AU842))/37)</f>
        <v/>
      </c>
      <c r="F845" s="55">
        <f>IF('04_DATA'!A842="","",IF(AND(COUNT('04_DATA'!$K842:$AU842)=37,COUNTIF('04_DATA'!$K842:$AU842,INDEX('04_DATA'!$K842:$AU842,1))=37),"EXCLUDE","ok"))</f>
        <v/>
      </c>
      <c r="G845" s="55">
        <f>IF('04_DATA'!A842="","",IF('04_DATA'!D842&lt;PERCENTILE('04_DATA'!$D$2:$D$1001,0.05),"FLAG","ok"))</f>
        <v/>
      </c>
      <c r="H845" s="55">
        <f>IF('04_DATA'!A842="","",IF(OR(C845="EXCLUDE",F845="EXCLUDE"),"Exclude under pre-specified rule",IF(E845&gt;0.15,"Exclude: &gt;15% missing",IF(G845="FLAG","Retain; test in robustness battery","Retain"))))</f>
        <v/>
      </c>
    </row>
    <row r="846">
      <c r="A846" s="55" t="n">
        <v>843</v>
      </c>
      <c r="B846" s="55">
        <f>IF('04_DATA'!A843="","",'04_DATA'!A843)</f>
        <v/>
      </c>
      <c r="C846" s="55">
        <f>IF('04_DATA'!A843="","",IF(AND('04_DATA'!G843=1,'04_DATA'!H843=1,'04_DATA'!I843&gt;=3),"eligible","EXCLUDE"))</f>
        <v/>
      </c>
      <c r="D846" s="55">
        <f>IF('04_DATA'!A843="","",37-COUNT('04_DATA'!$K843:$AU843))</f>
        <v/>
      </c>
      <c r="E846" s="63">
        <f>IF('04_DATA'!A843="","",(37-COUNT('04_DATA'!$K843:$AU843))/37)</f>
        <v/>
      </c>
      <c r="F846" s="55">
        <f>IF('04_DATA'!A843="","",IF(AND(COUNT('04_DATA'!$K843:$AU843)=37,COUNTIF('04_DATA'!$K843:$AU843,INDEX('04_DATA'!$K843:$AU843,1))=37),"EXCLUDE","ok"))</f>
        <v/>
      </c>
      <c r="G846" s="55">
        <f>IF('04_DATA'!A843="","",IF('04_DATA'!D843&lt;PERCENTILE('04_DATA'!$D$2:$D$1001,0.05),"FLAG","ok"))</f>
        <v/>
      </c>
      <c r="H846" s="55">
        <f>IF('04_DATA'!A843="","",IF(OR(C846="EXCLUDE",F846="EXCLUDE"),"Exclude under pre-specified rule",IF(E846&gt;0.15,"Exclude: &gt;15% missing",IF(G846="FLAG","Retain; test in robustness battery","Retain"))))</f>
        <v/>
      </c>
    </row>
    <row r="847">
      <c r="A847" s="55" t="n">
        <v>844</v>
      </c>
      <c r="B847" s="55">
        <f>IF('04_DATA'!A844="","",'04_DATA'!A844)</f>
        <v/>
      </c>
      <c r="C847" s="55">
        <f>IF('04_DATA'!A844="","",IF(AND('04_DATA'!G844=1,'04_DATA'!H844=1,'04_DATA'!I844&gt;=3),"eligible","EXCLUDE"))</f>
        <v/>
      </c>
      <c r="D847" s="55">
        <f>IF('04_DATA'!A844="","",37-COUNT('04_DATA'!$K844:$AU844))</f>
        <v/>
      </c>
      <c r="E847" s="63">
        <f>IF('04_DATA'!A844="","",(37-COUNT('04_DATA'!$K844:$AU844))/37)</f>
        <v/>
      </c>
      <c r="F847" s="55">
        <f>IF('04_DATA'!A844="","",IF(AND(COUNT('04_DATA'!$K844:$AU844)=37,COUNTIF('04_DATA'!$K844:$AU844,INDEX('04_DATA'!$K844:$AU844,1))=37),"EXCLUDE","ok"))</f>
        <v/>
      </c>
      <c r="G847" s="55">
        <f>IF('04_DATA'!A844="","",IF('04_DATA'!D844&lt;PERCENTILE('04_DATA'!$D$2:$D$1001,0.05),"FLAG","ok"))</f>
        <v/>
      </c>
      <c r="H847" s="55">
        <f>IF('04_DATA'!A844="","",IF(OR(C847="EXCLUDE",F847="EXCLUDE"),"Exclude under pre-specified rule",IF(E847&gt;0.15,"Exclude: &gt;15% missing",IF(G847="FLAG","Retain; test in robustness battery","Retain"))))</f>
        <v/>
      </c>
    </row>
    <row r="848">
      <c r="A848" s="55" t="n">
        <v>845</v>
      </c>
      <c r="B848" s="55">
        <f>IF('04_DATA'!A845="","",'04_DATA'!A845)</f>
        <v/>
      </c>
      <c r="C848" s="55">
        <f>IF('04_DATA'!A845="","",IF(AND('04_DATA'!G845=1,'04_DATA'!H845=1,'04_DATA'!I845&gt;=3),"eligible","EXCLUDE"))</f>
        <v/>
      </c>
      <c r="D848" s="55">
        <f>IF('04_DATA'!A845="","",37-COUNT('04_DATA'!$K845:$AU845))</f>
        <v/>
      </c>
      <c r="E848" s="63">
        <f>IF('04_DATA'!A845="","",(37-COUNT('04_DATA'!$K845:$AU845))/37)</f>
        <v/>
      </c>
      <c r="F848" s="55">
        <f>IF('04_DATA'!A845="","",IF(AND(COUNT('04_DATA'!$K845:$AU845)=37,COUNTIF('04_DATA'!$K845:$AU845,INDEX('04_DATA'!$K845:$AU845,1))=37),"EXCLUDE","ok"))</f>
        <v/>
      </c>
      <c r="G848" s="55">
        <f>IF('04_DATA'!A845="","",IF('04_DATA'!D845&lt;PERCENTILE('04_DATA'!$D$2:$D$1001,0.05),"FLAG","ok"))</f>
        <v/>
      </c>
      <c r="H848" s="55">
        <f>IF('04_DATA'!A845="","",IF(OR(C848="EXCLUDE",F848="EXCLUDE"),"Exclude under pre-specified rule",IF(E848&gt;0.15,"Exclude: &gt;15% missing",IF(G848="FLAG","Retain; test in robustness battery","Retain"))))</f>
        <v/>
      </c>
    </row>
    <row r="849">
      <c r="A849" s="55" t="n">
        <v>846</v>
      </c>
      <c r="B849" s="55">
        <f>IF('04_DATA'!A846="","",'04_DATA'!A846)</f>
        <v/>
      </c>
      <c r="C849" s="55">
        <f>IF('04_DATA'!A846="","",IF(AND('04_DATA'!G846=1,'04_DATA'!H846=1,'04_DATA'!I846&gt;=3),"eligible","EXCLUDE"))</f>
        <v/>
      </c>
      <c r="D849" s="55">
        <f>IF('04_DATA'!A846="","",37-COUNT('04_DATA'!$K846:$AU846))</f>
        <v/>
      </c>
      <c r="E849" s="63">
        <f>IF('04_DATA'!A846="","",(37-COUNT('04_DATA'!$K846:$AU846))/37)</f>
        <v/>
      </c>
      <c r="F849" s="55">
        <f>IF('04_DATA'!A846="","",IF(AND(COUNT('04_DATA'!$K846:$AU846)=37,COUNTIF('04_DATA'!$K846:$AU846,INDEX('04_DATA'!$K846:$AU846,1))=37),"EXCLUDE","ok"))</f>
        <v/>
      </c>
      <c r="G849" s="55">
        <f>IF('04_DATA'!A846="","",IF('04_DATA'!D846&lt;PERCENTILE('04_DATA'!$D$2:$D$1001,0.05),"FLAG","ok"))</f>
        <v/>
      </c>
      <c r="H849" s="55">
        <f>IF('04_DATA'!A846="","",IF(OR(C849="EXCLUDE",F849="EXCLUDE"),"Exclude under pre-specified rule",IF(E849&gt;0.15,"Exclude: &gt;15% missing",IF(G849="FLAG","Retain; test in robustness battery","Retain"))))</f>
        <v/>
      </c>
    </row>
    <row r="850">
      <c r="A850" s="55" t="n">
        <v>847</v>
      </c>
      <c r="B850" s="55">
        <f>IF('04_DATA'!A847="","",'04_DATA'!A847)</f>
        <v/>
      </c>
      <c r="C850" s="55">
        <f>IF('04_DATA'!A847="","",IF(AND('04_DATA'!G847=1,'04_DATA'!H847=1,'04_DATA'!I847&gt;=3),"eligible","EXCLUDE"))</f>
        <v/>
      </c>
      <c r="D850" s="55">
        <f>IF('04_DATA'!A847="","",37-COUNT('04_DATA'!$K847:$AU847))</f>
        <v/>
      </c>
      <c r="E850" s="63">
        <f>IF('04_DATA'!A847="","",(37-COUNT('04_DATA'!$K847:$AU847))/37)</f>
        <v/>
      </c>
      <c r="F850" s="55">
        <f>IF('04_DATA'!A847="","",IF(AND(COUNT('04_DATA'!$K847:$AU847)=37,COUNTIF('04_DATA'!$K847:$AU847,INDEX('04_DATA'!$K847:$AU847,1))=37),"EXCLUDE","ok"))</f>
        <v/>
      </c>
      <c r="G850" s="55">
        <f>IF('04_DATA'!A847="","",IF('04_DATA'!D847&lt;PERCENTILE('04_DATA'!$D$2:$D$1001,0.05),"FLAG","ok"))</f>
        <v/>
      </c>
      <c r="H850" s="55">
        <f>IF('04_DATA'!A847="","",IF(OR(C850="EXCLUDE",F850="EXCLUDE"),"Exclude under pre-specified rule",IF(E850&gt;0.15,"Exclude: &gt;15% missing",IF(G850="FLAG","Retain; test in robustness battery","Retain"))))</f>
        <v/>
      </c>
    </row>
    <row r="851">
      <c r="A851" s="55" t="n">
        <v>848</v>
      </c>
      <c r="B851" s="55">
        <f>IF('04_DATA'!A848="","",'04_DATA'!A848)</f>
        <v/>
      </c>
      <c r="C851" s="55">
        <f>IF('04_DATA'!A848="","",IF(AND('04_DATA'!G848=1,'04_DATA'!H848=1,'04_DATA'!I848&gt;=3),"eligible","EXCLUDE"))</f>
        <v/>
      </c>
      <c r="D851" s="55">
        <f>IF('04_DATA'!A848="","",37-COUNT('04_DATA'!$K848:$AU848))</f>
        <v/>
      </c>
      <c r="E851" s="63">
        <f>IF('04_DATA'!A848="","",(37-COUNT('04_DATA'!$K848:$AU848))/37)</f>
        <v/>
      </c>
      <c r="F851" s="55">
        <f>IF('04_DATA'!A848="","",IF(AND(COUNT('04_DATA'!$K848:$AU848)=37,COUNTIF('04_DATA'!$K848:$AU848,INDEX('04_DATA'!$K848:$AU848,1))=37),"EXCLUDE","ok"))</f>
        <v/>
      </c>
      <c r="G851" s="55">
        <f>IF('04_DATA'!A848="","",IF('04_DATA'!D848&lt;PERCENTILE('04_DATA'!$D$2:$D$1001,0.05),"FLAG","ok"))</f>
        <v/>
      </c>
      <c r="H851" s="55">
        <f>IF('04_DATA'!A848="","",IF(OR(C851="EXCLUDE",F851="EXCLUDE"),"Exclude under pre-specified rule",IF(E851&gt;0.15,"Exclude: &gt;15% missing",IF(G851="FLAG","Retain; test in robustness battery","Retain"))))</f>
        <v/>
      </c>
    </row>
    <row r="852">
      <c r="A852" s="55" t="n">
        <v>849</v>
      </c>
      <c r="B852" s="55">
        <f>IF('04_DATA'!A849="","",'04_DATA'!A849)</f>
        <v/>
      </c>
      <c r="C852" s="55">
        <f>IF('04_DATA'!A849="","",IF(AND('04_DATA'!G849=1,'04_DATA'!H849=1,'04_DATA'!I849&gt;=3),"eligible","EXCLUDE"))</f>
        <v/>
      </c>
      <c r="D852" s="55">
        <f>IF('04_DATA'!A849="","",37-COUNT('04_DATA'!$K849:$AU849))</f>
        <v/>
      </c>
      <c r="E852" s="63">
        <f>IF('04_DATA'!A849="","",(37-COUNT('04_DATA'!$K849:$AU849))/37)</f>
        <v/>
      </c>
      <c r="F852" s="55">
        <f>IF('04_DATA'!A849="","",IF(AND(COUNT('04_DATA'!$K849:$AU849)=37,COUNTIF('04_DATA'!$K849:$AU849,INDEX('04_DATA'!$K849:$AU849,1))=37),"EXCLUDE","ok"))</f>
        <v/>
      </c>
      <c r="G852" s="55">
        <f>IF('04_DATA'!A849="","",IF('04_DATA'!D849&lt;PERCENTILE('04_DATA'!$D$2:$D$1001,0.05),"FLAG","ok"))</f>
        <v/>
      </c>
      <c r="H852" s="55">
        <f>IF('04_DATA'!A849="","",IF(OR(C852="EXCLUDE",F852="EXCLUDE"),"Exclude under pre-specified rule",IF(E852&gt;0.15,"Exclude: &gt;15% missing",IF(G852="FLAG","Retain; test in robustness battery","Retain"))))</f>
        <v/>
      </c>
    </row>
    <row r="853">
      <c r="A853" s="55" t="n">
        <v>850</v>
      </c>
      <c r="B853" s="55">
        <f>IF('04_DATA'!A850="","",'04_DATA'!A850)</f>
        <v/>
      </c>
      <c r="C853" s="55">
        <f>IF('04_DATA'!A850="","",IF(AND('04_DATA'!G850=1,'04_DATA'!H850=1,'04_DATA'!I850&gt;=3),"eligible","EXCLUDE"))</f>
        <v/>
      </c>
      <c r="D853" s="55">
        <f>IF('04_DATA'!A850="","",37-COUNT('04_DATA'!$K850:$AU850))</f>
        <v/>
      </c>
      <c r="E853" s="63">
        <f>IF('04_DATA'!A850="","",(37-COUNT('04_DATA'!$K850:$AU850))/37)</f>
        <v/>
      </c>
      <c r="F853" s="55">
        <f>IF('04_DATA'!A850="","",IF(AND(COUNT('04_DATA'!$K850:$AU850)=37,COUNTIF('04_DATA'!$K850:$AU850,INDEX('04_DATA'!$K850:$AU850,1))=37),"EXCLUDE","ok"))</f>
        <v/>
      </c>
      <c r="G853" s="55">
        <f>IF('04_DATA'!A850="","",IF('04_DATA'!D850&lt;PERCENTILE('04_DATA'!$D$2:$D$1001,0.05),"FLAG","ok"))</f>
        <v/>
      </c>
      <c r="H853" s="55">
        <f>IF('04_DATA'!A850="","",IF(OR(C853="EXCLUDE",F853="EXCLUDE"),"Exclude under pre-specified rule",IF(E853&gt;0.15,"Exclude: &gt;15% missing",IF(G853="FLAG","Retain; test in robustness battery","Retain"))))</f>
        <v/>
      </c>
    </row>
    <row r="854">
      <c r="A854" s="55" t="n">
        <v>851</v>
      </c>
      <c r="B854" s="55">
        <f>IF('04_DATA'!A851="","",'04_DATA'!A851)</f>
        <v/>
      </c>
      <c r="C854" s="55">
        <f>IF('04_DATA'!A851="","",IF(AND('04_DATA'!G851=1,'04_DATA'!H851=1,'04_DATA'!I851&gt;=3),"eligible","EXCLUDE"))</f>
        <v/>
      </c>
      <c r="D854" s="55">
        <f>IF('04_DATA'!A851="","",37-COUNT('04_DATA'!$K851:$AU851))</f>
        <v/>
      </c>
      <c r="E854" s="63">
        <f>IF('04_DATA'!A851="","",(37-COUNT('04_DATA'!$K851:$AU851))/37)</f>
        <v/>
      </c>
      <c r="F854" s="55">
        <f>IF('04_DATA'!A851="","",IF(AND(COUNT('04_DATA'!$K851:$AU851)=37,COUNTIF('04_DATA'!$K851:$AU851,INDEX('04_DATA'!$K851:$AU851,1))=37),"EXCLUDE","ok"))</f>
        <v/>
      </c>
      <c r="G854" s="55">
        <f>IF('04_DATA'!A851="","",IF('04_DATA'!D851&lt;PERCENTILE('04_DATA'!$D$2:$D$1001,0.05),"FLAG","ok"))</f>
        <v/>
      </c>
      <c r="H854" s="55">
        <f>IF('04_DATA'!A851="","",IF(OR(C854="EXCLUDE",F854="EXCLUDE"),"Exclude under pre-specified rule",IF(E854&gt;0.15,"Exclude: &gt;15% missing",IF(G854="FLAG","Retain; test in robustness battery","Retain"))))</f>
        <v/>
      </c>
    </row>
    <row r="855">
      <c r="A855" s="55" t="n">
        <v>852</v>
      </c>
      <c r="B855" s="55">
        <f>IF('04_DATA'!A852="","",'04_DATA'!A852)</f>
        <v/>
      </c>
      <c r="C855" s="55">
        <f>IF('04_DATA'!A852="","",IF(AND('04_DATA'!G852=1,'04_DATA'!H852=1,'04_DATA'!I852&gt;=3),"eligible","EXCLUDE"))</f>
        <v/>
      </c>
      <c r="D855" s="55">
        <f>IF('04_DATA'!A852="","",37-COUNT('04_DATA'!$K852:$AU852))</f>
        <v/>
      </c>
      <c r="E855" s="63">
        <f>IF('04_DATA'!A852="","",(37-COUNT('04_DATA'!$K852:$AU852))/37)</f>
        <v/>
      </c>
      <c r="F855" s="55">
        <f>IF('04_DATA'!A852="","",IF(AND(COUNT('04_DATA'!$K852:$AU852)=37,COUNTIF('04_DATA'!$K852:$AU852,INDEX('04_DATA'!$K852:$AU852,1))=37),"EXCLUDE","ok"))</f>
        <v/>
      </c>
      <c r="G855" s="55">
        <f>IF('04_DATA'!A852="","",IF('04_DATA'!D852&lt;PERCENTILE('04_DATA'!$D$2:$D$1001,0.05),"FLAG","ok"))</f>
        <v/>
      </c>
      <c r="H855" s="55">
        <f>IF('04_DATA'!A852="","",IF(OR(C855="EXCLUDE",F855="EXCLUDE"),"Exclude under pre-specified rule",IF(E855&gt;0.15,"Exclude: &gt;15% missing",IF(G855="FLAG","Retain; test in robustness battery","Retain"))))</f>
        <v/>
      </c>
    </row>
    <row r="856">
      <c r="A856" s="55" t="n">
        <v>853</v>
      </c>
      <c r="B856" s="55">
        <f>IF('04_DATA'!A853="","",'04_DATA'!A853)</f>
        <v/>
      </c>
      <c r="C856" s="55">
        <f>IF('04_DATA'!A853="","",IF(AND('04_DATA'!G853=1,'04_DATA'!H853=1,'04_DATA'!I853&gt;=3),"eligible","EXCLUDE"))</f>
        <v/>
      </c>
      <c r="D856" s="55">
        <f>IF('04_DATA'!A853="","",37-COUNT('04_DATA'!$K853:$AU853))</f>
        <v/>
      </c>
      <c r="E856" s="63">
        <f>IF('04_DATA'!A853="","",(37-COUNT('04_DATA'!$K853:$AU853))/37)</f>
        <v/>
      </c>
      <c r="F856" s="55">
        <f>IF('04_DATA'!A853="","",IF(AND(COUNT('04_DATA'!$K853:$AU853)=37,COUNTIF('04_DATA'!$K853:$AU853,INDEX('04_DATA'!$K853:$AU853,1))=37),"EXCLUDE","ok"))</f>
        <v/>
      </c>
      <c r="G856" s="55">
        <f>IF('04_DATA'!A853="","",IF('04_DATA'!D853&lt;PERCENTILE('04_DATA'!$D$2:$D$1001,0.05),"FLAG","ok"))</f>
        <v/>
      </c>
      <c r="H856" s="55">
        <f>IF('04_DATA'!A853="","",IF(OR(C856="EXCLUDE",F856="EXCLUDE"),"Exclude under pre-specified rule",IF(E856&gt;0.15,"Exclude: &gt;15% missing",IF(G856="FLAG","Retain; test in robustness battery","Retain"))))</f>
        <v/>
      </c>
    </row>
    <row r="857">
      <c r="A857" s="55" t="n">
        <v>854</v>
      </c>
      <c r="B857" s="55">
        <f>IF('04_DATA'!A854="","",'04_DATA'!A854)</f>
        <v/>
      </c>
      <c r="C857" s="55">
        <f>IF('04_DATA'!A854="","",IF(AND('04_DATA'!G854=1,'04_DATA'!H854=1,'04_DATA'!I854&gt;=3),"eligible","EXCLUDE"))</f>
        <v/>
      </c>
      <c r="D857" s="55">
        <f>IF('04_DATA'!A854="","",37-COUNT('04_DATA'!$K854:$AU854))</f>
        <v/>
      </c>
      <c r="E857" s="63">
        <f>IF('04_DATA'!A854="","",(37-COUNT('04_DATA'!$K854:$AU854))/37)</f>
        <v/>
      </c>
      <c r="F857" s="55">
        <f>IF('04_DATA'!A854="","",IF(AND(COUNT('04_DATA'!$K854:$AU854)=37,COUNTIF('04_DATA'!$K854:$AU854,INDEX('04_DATA'!$K854:$AU854,1))=37),"EXCLUDE","ok"))</f>
        <v/>
      </c>
      <c r="G857" s="55">
        <f>IF('04_DATA'!A854="","",IF('04_DATA'!D854&lt;PERCENTILE('04_DATA'!$D$2:$D$1001,0.05),"FLAG","ok"))</f>
        <v/>
      </c>
      <c r="H857" s="55">
        <f>IF('04_DATA'!A854="","",IF(OR(C857="EXCLUDE",F857="EXCLUDE"),"Exclude under pre-specified rule",IF(E857&gt;0.15,"Exclude: &gt;15% missing",IF(G857="FLAG","Retain; test in robustness battery","Retain"))))</f>
        <v/>
      </c>
    </row>
    <row r="858">
      <c r="A858" s="55" t="n">
        <v>855</v>
      </c>
      <c r="B858" s="55">
        <f>IF('04_DATA'!A855="","",'04_DATA'!A855)</f>
        <v/>
      </c>
      <c r="C858" s="55">
        <f>IF('04_DATA'!A855="","",IF(AND('04_DATA'!G855=1,'04_DATA'!H855=1,'04_DATA'!I855&gt;=3),"eligible","EXCLUDE"))</f>
        <v/>
      </c>
      <c r="D858" s="55">
        <f>IF('04_DATA'!A855="","",37-COUNT('04_DATA'!$K855:$AU855))</f>
        <v/>
      </c>
      <c r="E858" s="63">
        <f>IF('04_DATA'!A855="","",(37-COUNT('04_DATA'!$K855:$AU855))/37)</f>
        <v/>
      </c>
      <c r="F858" s="55">
        <f>IF('04_DATA'!A855="","",IF(AND(COUNT('04_DATA'!$K855:$AU855)=37,COUNTIF('04_DATA'!$K855:$AU855,INDEX('04_DATA'!$K855:$AU855,1))=37),"EXCLUDE","ok"))</f>
        <v/>
      </c>
      <c r="G858" s="55">
        <f>IF('04_DATA'!A855="","",IF('04_DATA'!D855&lt;PERCENTILE('04_DATA'!$D$2:$D$1001,0.05),"FLAG","ok"))</f>
        <v/>
      </c>
      <c r="H858" s="55">
        <f>IF('04_DATA'!A855="","",IF(OR(C858="EXCLUDE",F858="EXCLUDE"),"Exclude under pre-specified rule",IF(E858&gt;0.15,"Exclude: &gt;15% missing",IF(G858="FLAG","Retain; test in robustness battery","Retain"))))</f>
        <v/>
      </c>
    </row>
    <row r="859">
      <c r="A859" s="55" t="n">
        <v>856</v>
      </c>
      <c r="B859" s="55">
        <f>IF('04_DATA'!A856="","",'04_DATA'!A856)</f>
        <v/>
      </c>
      <c r="C859" s="55">
        <f>IF('04_DATA'!A856="","",IF(AND('04_DATA'!G856=1,'04_DATA'!H856=1,'04_DATA'!I856&gt;=3),"eligible","EXCLUDE"))</f>
        <v/>
      </c>
      <c r="D859" s="55">
        <f>IF('04_DATA'!A856="","",37-COUNT('04_DATA'!$K856:$AU856))</f>
        <v/>
      </c>
      <c r="E859" s="63">
        <f>IF('04_DATA'!A856="","",(37-COUNT('04_DATA'!$K856:$AU856))/37)</f>
        <v/>
      </c>
      <c r="F859" s="55">
        <f>IF('04_DATA'!A856="","",IF(AND(COUNT('04_DATA'!$K856:$AU856)=37,COUNTIF('04_DATA'!$K856:$AU856,INDEX('04_DATA'!$K856:$AU856,1))=37),"EXCLUDE","ok"))</f>
        <v/>
      </c>
      <c r="G859" s="55">
        <f>IF('04_DATA'!A856="","",IF('04_DATA'!D856&lt;PERCENTILE('04_DATA'!$D$2:$D$1001,0.05),"FLAG","ok"))</f>
        <v/>
      </c>
      <c r="H859" s="55">
        <f>IF('04_DATA'!A856="","",IF(OR(C859="EXCLUDE",F859="EXCLUDE"),"Exclude under pre-specified rule",IF(E859&gt;0.15,"Exclude: &gt;15% missing",IF(G859="FLAG","Retain; test in robustness battery","Retain"))))</f>
        <v/>
      </c>
    </row>
    <row r="860">
      <c r="A860" s="55" t="n">
        <v>857</v>
      </c>
      <c r="B860" s="55">
        <f>IF('04_DATA'!A857="","",'04_DATA'!A857)</f>
        <v/>
      </c>
      <c r="C860" s="55">
        <f>IF('04_DATA'!A857="","",IF(AND('04_DATA'!G857=1,'04_DATA'!H857=1,'04_DATA'!I857&gt;=3),"eligible","EXCLUDE"))</f>
        <v/>
      </c>
      <c r="D860" s="55">
        <f>IF('04_DATA'!A857="","",37-COUNT('04_DATA'!$K857:$AU857))</f>
        <v/>
      </c>
      <c r="E860" s="63">
        <f>IF('04_DATA'!A857="","",(37-COUNT('04_DATA'!$K857:$AU857))/37)</f>
        <v/>
      </c>
      <c r="F860" s="55">
        <f>IF('04_DATA'!A857="","",IF(AND(COUNT('04_DATA'!$K857:$AU857)=37,COUNTIF('04_DATA'!$K857:$AU857,INDEX('04_DATA'!$K857:$AU857,1))=37),"EXCLUDE","ok"))</f>
        <v/>
      </c>
      <c r="G860" s="55">
        <f>IF('04_DATA'!A857="","",IF('04_DATA'!D857&lt;PERCENTILE('04_DATA'!$D$2:$D$1001,0.05),"FLAG","ok"))</f>
        <v/>
      </c>
      <c r="H860" s="55">
        <f>IF('04_DATA'!A857="","",IF(OR(C860="EXCLUDE",F860="EXCLUDE"),"Exclude under pre-specified rule",IF(E860&gt;0.15,"Exclude: &gt;15% missing",IF(G860="FLAG","Retain; test in robustness battery","Retain"))))</f>
        <v/>
      </c>
    </row>
    <row r="861">
      <c r="A861" s="55" t="n">
        <v>858</v>
      </c>
      <c r="B861" s="55">
        <f>IF('04_DATA'!A858="","",'04_DATA'!A858)</f>
        <v/>
      </c>
      <c r="C861" s="55">
        <f>IF('04_DATA'!A858="","",IF(AND('04_DATA'!G858=1,'04_DATA'!H858=1,'04_DATA'!I858&gt;=3),"eligible","EXCLUDE"))</f>
        <v/>
      </c>
      <c r="D861" s="55">
        <f>IF('04_DATA'!A858="","",37-COUNT('04_DATA'!$K858:$AU858))</f>
        <v/>
      </c>
      <c r="E861" s="63">
        <f>IF('04_DATA'!A858="","",(37-COUNT('04_DATA'!$K858:$AU858))/37)</f>
        <v/>
      </c>
      <c r="F861" s="55">
        <f>IF('04_DATA'!A858="","",IF(AND(COUNT('04_DATA'!$K858:$AU858)=37,COUNTIF('04_DATA'!$K858:$AU858,INDEX('04_DATA'!$K858:$AU858,1))=37),"EXCLUDE","ok"))</f>
        <v/>
      </c>
      <c r="G861" s="55">
        <f>IF('04_DATA'!A858="","",IF('04_DATA'!D858&lt;PERCENTILE('04_DATA'!$D$2:$D$1001,0.05),"FLAG","ok"))</f>
        <v/>
      </c>
      <c r="H861" s="55">
        <f>IF('04_DATA'!A858="","",IF(OR(C861="EXCLUDE",F861="EXCLUDE"),"Exclude under pre-specified rule",IF(E861&gt;0.15,"Exclude: &gt;15% missing",IF(G861="FLAG","Retain; test in robustness battery","Retain"))))</f>
        <v/>
      </c>
    </row>
    <row r="862">
      <c r="A862" s="55" t="n">
        <v>859</v>
      </c>
      <c r="B862" s="55">
        <f>IF('04_DATA'!A859="","",'04_DATA'!A859)</f>
        <v/>
      </c>
      <c r="C862" s="55">
        <f>IF('04_DATA'!A859="","",IF(AND('04_DATA'!G859=1,'04_DATA'!H859=1,'04_DATA'!I859&gt;=3),"eligible","EXCLUDE"))</f>
        <v/>
      </c>
      <c r="D862" s="55">
        <f>IF('04_DATA'!A859="","",37-COUNT('04_DATA'!$K859:$AU859))</f>
        <v/>
      </c>
      <c r="E862" s="63">
        <f>IF('04_DATA'!A859="","",(37-COUNT('04_DATA'!$K859:$AU859))/37)</f>
        <v/>
      </c>
      <c r="F862" s="55">
        <f>IF('04_DATA'!A859="","",IF(AND(COUNT('04_DATA'!$K859:$AU859)=37,COUNTIF('04_DATA'!$K859:$AU859,INDEX('04_DATA'!$K859:$AU859,1))=37),"EXCLUDE","ok"))</f>
        <v/>
      </c>
      <c r="G862" s="55">
        <f>IF('04_DATA'!A859="","",IF('04_DATA'!D859&lt;PERCENTILE('04_DATA'!$D$2:$D$1001,0.05),"FLAG","ok"))</f>
        <v/>
      </c>
      <c r="H862" s="55">
        <f>IF('04_DATA'!A859="","",IF(OR(C862="EXCLUDE",F862="EXCLUDE"),"Exclude under pre-specified rule",IF(E862&gt;0.15,"Exclude: &gt;15% missing",IF(G862="FLAG","Retain; test in robustness battery","Retain"))))</f>
        <v/>
      </c>
    </row>
    <row r="863">
      <c r="A863" s="55" t="n">
        <v>860</v>
      </c>
      <c r="B863" s="55">
        <f>IF('04_DATA'!A860="","",'04_DATA'!A860)</f>
        <v/>
      </c>
      <c r="C863" s="55">
        <f>IF('04_DATA'!A860="","",IF(AND('04_DATA'!G860=1,'04_DATA'!H860=1,'04_DATA'!I860&gt;=3),"eligible","EXCLUDE"))</f>
        <v/>
      </c>
      <c r="D863" s="55">
        <f>IF('04_DATA'!A860="","",37-COUNT('04_DATA'!$K860:$AU860))</f>
        <v/>
      </c>
      <c r="E863" s="63">
        <f>IF('04_DATA'!A860="","",(37-COUNT('04_DATA'!$K860:$AU860))/37)</f>
        <v/>
      </c>
      <c r="F863" s="55">
        <f>IF('04_DATA'!A860="","",IF(AND(COUNT('04_DATA'!$K860:$AU860)=37,COUNTIF('04_DATA'!$K860:$AU860,INDEX('04_DATA'!$K860:$AU860,1))=37),"EXCLUDE","ok"))</f>
        <v/>
      </c>
      <c r="G863" s="55">
        <f>IF('04_DATA'!A860="","",IF('04_DATA'!D860&lt;PERCENTILE('04_DATA'!$D$2:$D$1001,0.05),"FLAG","ok"))</f>
        <v/>
      </c>
      <c r="H863" s="55">
        <f>IF('04_DATA'!A860="","",IF(OR(C863="EXCLUDE",F863="EXCLUDE"),"Exclude under pre-specified rule",IF(E863&gt;0.15,"Exclude: &gt;15% missing",IF(G863="FLAG","Retain; test in robustness battery","Retain"))))</f>
        <v/>
      </c>
    </row>
    <row r="864">
      <c r="A864" s="55" t="n">
        <v>861</v>
      </c>
      <c r="B864" s="55">
        <f>IF('04_DATA'!A861="","",'04_DATA'!A861)</f>
        <v/>
      </c>
      <c r="C864" s="55">
        <f>IF('04_DATA'!A861="","",IF(AND('04_DATA'!G861=1,'04_DATA'!H861=1,'04_DATA'!I861&gt;=3),"eligible","EXCLUDE"))</f>
        <v/>
      </c>
      <c r="D864" s="55">
        <f>IF('04_DATA'!A861="","",37-COUNT('04_DATA'!$K861:$AU861))</f>
        <v/>
      </c>
      <c r="E864" s="63">
        <f>IF('04_DATA'!A861="","",(37-COUNT('04_DATA'!$K861:$AU861))/37)</f>
        <v/>
      </c>
      <c r="F864" s="55">
        <f>IF('04_DATA'!A861="","",IF(AND(COUNT('04_DATA'!$K861:$AU861)=37,COUNTIF('04_DATA'!$K861:$AU861,INDEX('04_DATA'!$K861:$AU861,1))=37),"EXCLUDE","ok"))</f>
        <v/>
      </c>
      <c r="G864" s="55">
        <f>IF('04_DATA'!A861="","",IF('04_DATA'!D861&lt;PERCENTILE('04_DATA'!$D$2:$D$1001,0.05),"FLAG","ok"))</f>
        <v/>
      </c>
      <c r="H864" s="55">
        <f>IF('04_DATA'!A861="","",IF(OR(C864="EXCLUDE",F864="EXCLUDE"),"Exclude under pre-specified rule",IF(E864&gt;0.15,"Exclude: &gt;15% missing",IF(G864="FLAG","Retain; test in robustness battery","Retain"))))</f>
        <v/>
      </c>
    </row>
    <row r="865">
      <c r="A865" s="55" t="n">
        <v>862</v>
      </c>
      <c r="B865" s="55">
        <f>IF('04_DATA'!A862="","",'04_DATA'!A862)</f>
        <v/>
      </c>
      <c r="C865" s="55">
        <f>IF('04_DATA'!A862="","",IF(AND('04_DATA'!G862=1,'04_DATA'!H862=1,'04_DATA'!I862&gt;=3),"eligible","EXCLUDE"))</f>
        <v/>
      </c>
      <c r="D865" s="55">
        <f>IF('04_DATA'!A862="","",37-COUNT('04_DATA'!$K862:$AU862))</f>
        <v/>
      </c>
      <c r="E865" s="63">
        <f>IF('04_DATA'!A862="","",(37-COUNT('04_DATA'!$K862:$AU862))/37)</f>
        <v/>
      </c>
      <c r="F865" s="55">
        <f>IF('04_DATA'!A862="","",IF(AND(COUNT('04_DATA'!$K862:$AU862)=37,COUNTIF('04_DATA'!$K862:$AU862,INDEX('04_DATA'!$K862:$AU862,1))=37),"EXCLUDE","ok"))</f>
        <v/>
      </c>
      <c r="G865" s="55">
        <f>IF('04_DATA'!A862="","",IF('04_DATA'!D862&lt;PERCENTILE('04_DATA'!$D$2:$D$1001,0.05),"FLAG","ok"))</f>
        <v/>
      </c>
      <c r="H865" s="55">
        <f>IF('04_DATA'!A862="","",IF(OR(C865="EXCLUDE",F865="EXCLUDE"),"Exclude under pre-specified rule",IF(E865&gt;0.15,"Exclude: &gt;15% missing",IF(G865="FLAG","Retain; test in robustness battery","Retain"))))</f>
        <v/>
      </c>
    </row>
    <row r="866">
      <c r="A866" s="55" t="n">
        <v>863</v>
      </c>
      <c r="B866" s="55">
        <f>IF('04_DATA'!A863="","",'04_DATA'!A863)</f>
        <v/>
      </c>
      <c r="C866" s="55">
        <f>IF('04_DATA'!A863="","",IF(AND('04_DATA'!G863=1,'04_DATA'!H863=1,'04_DATA'!I863&gt;=3),"eligible","EXCLUDE"))</f>
        <v/>
      </c>
      <c r="D866" s="55">
        <f>IF('04_DATA'!A863="","",37-COUNT('04_DATA'!$K863:$AU863))</f>
        <v/>
      </c>
      <c r="E866" s="63">
        <f>IF('04_DATA'!A863="","",(37-COUNT('04_DATA'!$K863:$AU863))/37)</f>
        <v/>
      </c>
      <c r="F866" s="55">
        <f>IF('04_DATA'!A863="","",IF(AND(COUNT('04_DATA'!$K863:$AU863)=37,COUNTIF('04_DATA'!$K863:$AU863,INDEX('04_DATA'!$K863:$AU863,1))=37),"EXCLUDE","ok"))</f>
        <v/>
      </c>
      <c r="G866" s="55">
        <f>IF('04_DATA'!A863="","",IF('04_DATA'!D863&lt;PERCENTILE('04_DATA'!$D$2:$D$1001,0.05),"FLAG","ok"))</f>
        <v/>
      </c>
      <c r="H866" s="55">
        <f>IF('04_DATA'!A863="","",IF(OR(C866="EXCLUDE",F866="EXCLUDE"),"Exclude under pre-specified rule",IF(E866&gt;0.15,"Exclude: &gt;15% missing",IF(G866="FLAG","Retain; test in robustness battery","Retain"))))</f>
        <v/>
      </c>
    </row>
    <row r="867">
      <c r="A867" s="55" t="n">
        <v>864</v>
      </c>
      <c r="B867" s="55">
        <f>IF('04_DATA'!A864="","",'04_DATA'!A864)</f>
        <v/>
      </c>
      <c r="C867" s="55">
        <f>IF('04_DATA'!A864="","",IF(AND('04_DATA'!G864=1,'04_DATA'!H864=1,'04_DATA'!I864&gt;=3),"eligible","EXCLUDE"))</f>
        <v/>
      </c>
      <c r="D867" s="55">
        <f>IF('04_DATA'!A864="","",37-COUNT('04_DATA'!$K864:$AU864))</f>
        <v/>
      </c>
      <c r="E867" s="63">
        <f>IF('04_DATA'!A864="","",(37-COUNT('04_DATA'!$K864:$AU864))/37)</f>
        <v/>
      </c>
      <c r="F867" s="55">
        <f>IF('04_DATA'!A864="","",IF(AND(COUNT('04_DATA'!$K864:$AU864)=37,COUNTIF('04_DATA'!$K864:$AU864,INDEX('04_DATA'!$K864:$AU864,1))=37),"EXCLUDE","ok"))</f>
        <v/>
      </c>
      <c r="G867" s="55">
        <f>IF('04_DATA'!A864="","",IF('04_DATA'!D864&lt;PERCENTILE('04_DATA'!$D$2:$D$1001,0.05),"FLAG","ok"))</f>
        <v/>
      </c>
      <c r="H867" s="55">
        <f>IF('04_DATA'!A864="","",IF(OR(C867="EXCLUDE",F867="EXCLUDE"),"Exclude under pre-specified rule",IF(E867&gt;0.15,"Exclude: &gt;15% missing",IF(G867="FLAG","Retain; test in robustness battery","Retain"))))</f>
        <v/>
      </c>
    </row>
    <row r="868">
      <c r="A868" s="55" t="n">
        <v>865</v>
      </c>
      <c r="B868" s="55">
        <f>IF('04_DATA'!A865="","",'04_DATA'!A865)</f>
        <v/>
      </c>
      <c r="C868" s="55">
        <f>IF('04_DATA'!A865="","",IF(AND('04_DATA'!G865=1,'04_DATA'!H865=1,'04_DATA'!I865&gt;=3),"eligible","EXCLUDE"))</f>
        <v/>
      </c>
      <c r="D868" s="55">
        <f>IF('04_DATA'!A865="","",37-COUNT('04_DATA'!$K865:$AU865))</f>
        <v/>
      </c>
      <c r="E868" s="63">
        <f>IF('04_DATA'!A865="","",(37-COUNT('04_DATA'!$K865:$AU865))/37)</f>
        <v/>
      </c>
      <c r="F868" s="55">
        <f>IF('04_DATA'!A865="","",IF(AND(COUNT('04_DATA'!$K865:$AU865)=37,COUNTIF('04_DATA'!$K865:$AU865,INDEX('04_DATA'!$K865:$AU865,1))=37),"EXCLUDE","ok"))</f>
        <v/>
      </c>
      <c r="G868" s="55">
        <f>IF('04_DATA'!A865="","",IF('04_DATA'!D865&lt;PERCENTILE('04_DATA'!$D$2:$D$1001,0.05),"FLAG","ok"))</f>
        <v/>
      </c>
      <c r="H868" s="55">
        <f>IF('04_DATA'!A865="","",IF(OR(C868="EXCLUDE",F868="EXCLUDE"),"Exclude under pre-specified rule",IF(E868&gt;0.15,"Exclude: &gt;15% missing",IF(G868="FLAG","Retain; test in robustness battery","Retain"))))</f>
        <v/>
      </c>
    </row>
    <row r="869">
      <c r="A869" s="55" t="n">
        <v>866</v>
      </c>
      <c r="B869" s="55">
        <f>IF('04_DATA'!A866="","",'04_DATA'!A866)</f>
        <v/>
      </c>
      <c r="C869" s="55">
        <f>IF('04_DATA'!A866="","",IF(AND('04_DATA'!G866=1,'04_DATA'!H866=1,'04_DATA'!I866&gt;=3),"eligible","EXCLUDE"))</f>
        <v/>
      </c>
      <c r="D869" s="55">
        <f>IF('04_DATA'!A866="","",37-COUNT('04_DATA'!$K866:$AU866))</f>
        <v/>
      </c>
      <c r="E869" s="63">
        <f>IF('04_DATA'!A866="","",(37-COUNT('04_DATA'!$K866:$AU866))/37)</f>
        <v/>
      </c>
      <c r="F869" s="55">
        <f>IF('04_DATA'!A866="","",IF(AND(COUNT('04_DATA'!$K866:$AU866)=37,COUNTIF('04_DATA'!$K866:$AU866,INDEX('04_DATA'!$K866:$AU866,1))=37),"EXCLUDE","ok"))</f>
        <v/>
      </c>
      <c r="G869" s="55">
        <f>IF('04_DATA'!A866="","",IF('04_DATA'!D866&lt;PERCENTILE('04_DATA'!$D$2:$D$1001,0.05),"FLAG","ok"))</f>
        <v/>
      </c>
      <c r="H869" s="55">
        <f>IF('04_DATA'!A866="","",IF(OR(C869="EXCLUDE",F869="EXCLUDE"),"Exclude under pre-specified rule",IF(E869&gt;0.15,"Exclude: &gt;15% missing",IF(G869="FLAG","Retain; test in robustness battery","Retain"))))</f>
        <v/>
      </c>
    </row>
    <row r="870">
      <c r="A870" s="55" t="n">
        <v>867</v>
      </c>
      <c r="B870" s="55">
        <f>IF('04_DATA'!A867="","",'04_DATA'!A867)</f>
        <v/>
      </c>
      <c r="C870" s="55">
        <f>IF('04_DATA'!A867="","",IF(AND('04_DATA'!G867=1,'04_DATA'!H867=1,'04_DATA'!I867&gt;=3),"eligible","EXCLUDE"))</f>
        <v/>
      </c>
      <c r="D870" s="55">
        <f>IF('04_DATA'!A867="","",37-COUNT('04_DATA'!$K867:$AU867))</f>
        <v/>
      </c>
      <c r="E870" s="63">
        <f>IF('04_DATA'!A867="","",(37-COUNT('04_DATA'!$K867:$AU867))/37)</f>
        <v/>
      </c>
      <c r="F870" s="55">
        <f>IF('04_DATA'!A867="","",IF(AND(COUNT('04_DATA'!$K867:$AU867)=37,COUNTIF('04_DATA'!$K867:$AU867,INDEX('04_DATA'!$K867:$AU867,1))=37),"EXCLUDE","ok"))</f>
        <v/>
      </c>
      <c r="G870" s="55">
        <f>IF('04_DATA'!A867="","",IF('04_DATA'!D867&lt;PERCENTILE('04_DATA'!$D$2:$D$1001,0.05),"FLAG","ok"))</f>
        <v/>
      </c>
      <c r="H870" s="55">
        <f>IF('04_DATA'!A867="","",IF(OR(C870="EXCLUDE",F870="EXCLUDE"),"Exclude under pre-specified rule",IF(E870&gt;0.15,"Exclude: &gt;15% missing",IF(G870="FLAG","Retain; test in robustness battery","Retain"))))</f>
        <v/>
      </c>
    </row>
    <row r="871">
      <c r="A871" s="55" t="n">
        <v>868</v>
      </c>
      <c r="B871" s="55">
        <f>IF('04_DATA'!A868="","",'04_DATA'!A868)</f>
        <v/>
      </c>
      <c r="C871" s="55">
        <f>IF('04_DATA'!A868="","",IF(AND('04_DATA'!G868=1,'04_DATA'!H868=1,'04_DATA'!I868&gt;=3),"eligible","EXCLUDE"))</f>
        <v/>
      </c>
      <c r="D871" s="55">
        <f>IF('04_DATA'!A868="","",37-COUNT('04_DATA'!$K868:$AU868))</f>
        <v/>
      </c>
      <c r="E871" s="63">
        <f>IF('04_DATA'!A868="","",(37-COUNT('04_DATA'!$K868:$AU868))/37)</f>
        <v/>
      </c>
      <c r="F871" s="55">
        <f>IF('04_DATA'!A868="","",IF(AND(COUNT('04_DATA'!$K868:$AU868)=37,COUNTIF('04_DATA'!$K868:$AU868,INDEX('04_DATA'!$K868:$AU868,1))=37),"EXCLUDE","ok"))</f>
        <v/>
      </c>
      <c r="G871" s="55">
        <f>IF('04_DATA'!A868="","",IF('04_DATA'!D868&lt;PERCENTILE('04_DATA'!$D$2:$D$1001,0.05),"FLAG","ok"))</f>
        <v/>
      </c>
      <c r="H871" s="55">
        <f>IF('04_DATA'!A868="","",IF(OR(C871="EXCLUDE",F871="EXCLUDE"),"Exclude under pre-specified rule",IF(E871&gt;0.15,"Exclude: &gt;15% missing",IF(G871="FLAG","Retain; test in robustness battery","Retain"))))</f>
        <v/>
      </c>
    </row>
    <row r="872">
      <c r="A872" s="55" t="n">
        <v>869</v>
      </c>
      <c r="B872" s="55">
        <f>IF('04_DATA'!A869="","",'04_DATA'!A869)</f>
        <v/>
      </c>
      <c r="C872" s="55">
        <f>IF('04_DATA'!A869="","",IF(AND('04_DATA'!G869=1,'04_DATA'!H869=1,'04_DATA'!I869&gt;=3),"eligible","EXCLUDE"))</f>
        <v/>
      </c>
      <c r="D872" s="55">
        <f>IF('04_DATA'!A869="","",37-COUNT('04_DATA'!$K869:$AU869))</f>
        <v/>
      </c>
      <c r="E872" s="63">
        <f>IF('04_DATA'!A869="","",(37-COUNT('04_DATA'!$K869:$AU869))/37)</f>
        <v/>
      </c>
      <c r="F872" s="55">
        <f>IF('04_DATA'!A869="","",IF(AND(COUNT('04_DATA'!$K869:$AU869)=37,COUNTIF('04_DATA'!$K869:$AU869,INDEX('04_DATA'!$K869:$AU869,1))=37),"EXCLUDE","ok"))</f>
        <v/>
      </c>
      <c r="G872" s="55">
        <f>IF('04_DATA'!A869="","",IF('04_DATA'!D869&lt;PERCENTILE('04_DATA'!$D$2:$D$1001,0.05),"FLAG","ok"))</f>
        <v/>
      </c>
      <c r="H872" s="55">
        <f>IF('04_DATA'!A869="","",IF(OR(C872="EXCLUDE",F872="EXCLUDE"),"Exclude under pre-specified rule",IF(E872&gt;0.15,"Exclude: &gt;15% missing",IF(G872="FLAG","Retain; test in robustness battery","Retain"))))</f>
        <v/>
      </c>
    </row>
    <row r="873">
      <c r="A873" s="55" t="n">
        <v>870</v>
      </c>
      <c r="B873" s="55">
        <f>IF('04_DATA'!A870="","",'04_DATA'!A870)</f>
        <v/>
      </c>
      <c r="C873" s="55">
        <f>IF('04_DATA'!A870="","",IF(AND('04_DATA'!G870=1,'04_DATA'!H870=1,'04_DATA'!I870&gt;=3),"eligible","EXCLUDE"))</f>
        <v/>
      </c>
      <c r="D873" s="55">
        <f>IF('04_DATA'!A870="","",37-COUNT('04_DATA'!$K870:$AU870))</f>
        <v/>
      </c>
      <c r="E873" s="63">
        <f>IF('04_DATA'!A870="","",(37-COUNT('04_DATA'!$K870:$AU870))/37)</f>
        <v/>
      </c>
      <c r="F873" s="55">
        <f>IF('04_DATA'!A870="","",IF(AND(COUNT('04_DATA'!$K870:$AU870)=37,COUNTIF('04_DATA'!$K870:$AU870,INDEX('04_DATA'!$K870:$AU870,1))=37),"EXCLUDE","ok"))</f>
        <v/>
      </c>
      <c r="G873" s="55">
        <f>IF('04_DATA'!A870="","",IF('04_DATA'!D870&lt;PERCENTILE('04_DATA'!$D$2:$D$1001,0.05),"FLAG","ok"))</f>
        <v/>
      </c>
      <c r="H873" s="55">
        <f>IF('04_DATA'!A870="","",IF(OR(C873="EXCLUDE",F873="EXCLUDE"),"Exclude under pre-specified rule",IF(E873&gt;0.15,"Exclude: &gt;15% missing",IF(G873="FLAG","Retain; test in robustness battery","Retain"))))</f>
        <v/>
      </c>
    </row>
    <row r="874">
      <c r="A874" s="55" t="n">
        <v>871</v>
      </c>
      <c r="B874" s="55">
        <f>IF('04_DATA'!A871="","",'04_DATA'!A871)</f>
        <v/>
      </c>
      <c r="C874" s="55">
        <f>IF('04_DATA'!A871="","",IF(AND('04_DATA'!G871=1,'04_DATA'!H871=1,'04_DATA'!I871&gt;=3),"eligible","EXCLUDE"))</f>
        <v/>
      </c>
      <c r="D874" s="55">
        <f>IF('04_DATA'!A871="","",37-COUNT('04_DATA'!$K871:$AU871))</f>
        <v/>
      </c>
      <c r="E874" s="63">
        <f>IF('04_DATA'!A871="","",(37-COUNT('04_DATA'!$K871:$AU871))/37)</f>
        <v/>
      </c>
      <c r="F874" s="55">
        <f>IF('04_DATA'!A871="","",IF(AND(COUNT('04_DATA'!$K871:$AU871)=37,COUNTIF('04_DATA'!$K871:$AU871,INDEX('04_DATA'!$K871:$AU871,1))=37),"EXCLUDE","ok"))</f>
        <v/>
      </c>
      <c r="G874" s="55">
        <f>IF('04_DATA'!A871="","",IF('04_DATA'!D871&lt;PERCENTILE('04_DATA'!$D$2:$D$1001,0.05),"FLAG","ok"))</f>
        <v/>
      </c>
      <c r="H874" s="55">
        <f>IF('04_DATA'!A871="","",IF(OR(C874="EXCLUDE",F874="EXCLUDE"),"Exclude under pre-specified rule",IF(E874&gt;0.15,"Exclude: &gt;15% missing",IF(G874="FLAG","Retain; test in robustness battery","Retain"))))</f>
        <v/>
      </c>
    </row>
    <row r="875">
      <c r="A875" s="55" t="n">
        <v>872</v>
      </c>
      <c r="B875" s="55">
        <f>IF('04_DATA'!A872="","",'04_DATA'!A872)</f>
        <v/>
      </c>
      <c r="C875" s="55">
        <f>IF('04_DATA'!A872="","",IF(AND('04_DATA'!G872=1,'04_DATA'!H872=1,'04_DATA'!I872&gt;=3),"eligible","EXCLUDE"))</f>
        <v/>
      </c>
      <c r="D875" s="55">
        <f>IF('04_DATA'!A872="","",37-COUNT('04_DATA'!$K872:$AU872))</f>
        <v/>
      </c>
      <c r="E875" s="63">
        <f>IF('04_DATA'!A872="","",(37-COUNT('04_DATA'!$K872:$AU872))/37)</f>
        <v/>
      </c>
      <c r="F875" s="55">
        <f>IF('04_DATA'!A872="","",IF(AND(COUNT('04_DATA'!$K872:$AU872)=37,COUNTIF('04_DATA'!$K872:$AU872,INDEX('04_DATA'!$K872:$AU872,1))=37),"EXCLUDE","ok"))</f>
        <v/>
      </c>
      <c r="G875" s="55">
        <f>IF('04_DATA'!A872="","",IF('04_DATA'!D872&lt;PERCENTILE('04_DATA'!$D$2:$D$1001,0.05),"FLAG","ok"))</f>
        <v/>
      </c>
      <c r="H875" s="55">
        <f>IF('04_DATA'!A872="","",IF(OR(C875="EXCLUDE",F875="EXCLUDE"),"Exclude under pre-specified rule",IF(E875&gt;0.15,"Exclude: &gt;15% missing",IF(G875="FLAG","Retain; test in robustness battery","Retain"))))</f>
        <v/>
      </c>
    </row>
    <row r="876">
      <c r="A876" s="55" t="n">
        <v>873</v>
      </c>
      <c r="B876" s="55">
        <f>IF('04_DATA'!A873="","",'04_DATA'!A873)</f>
        <v/>
      </c>
      <c r="C876" s="55">
        <f>IF('04_DATA'!A873="","",IF(AND('04_DATA'!G873=1,'04_DATA'!H873=1,'04_DATA'!I873&gt;=3),"eligible","EXCLUDE"))</f>
        <v/>
      </c>
      <c r="D876" s="55">
        <f>IF('04_DATA'!A873="","",37-COUNT('04_DATA'!$K873:$AU873))</f>
        <v/>
      </c>
      <c r="E876" s="63">
        <f>IF('04_DATA'!A873="","",(37-COUNT('04_DATA'!$K873:$AU873))/37)</f>
        <v/>
      </c>
      <c r="F876" s="55">
        <f>IF('04_DATA'!A873="","",IF(AND(COUNT('04_DATA'!$K873:$AU873)=37,COUNTIF('04_DATA'!$K873:$AU873,INDEX('04_DATA'!$K873:$AU873,1))=37),"EXCLUDE","ok"))</f>
        <v/>
      </c>
      <c r="G876" s="55">
        <f>IF('04_DATA'!A873="","",IF('04_DATA'!D873&lt;PERCENTILE('04_DATA'!$D$2:$D$1001,0.05),"FLAG","ok"))</f>
        <v/>
      </c>
      <c r="H876" s="55">
        <f>IF('04_DATA'!A873="","",IF(OR(C876="EXCLUDE",F876="EXCLUDE"),"Exclude under pre-specified rule",IF(E876&gt;0.15,"Exclude: &gt;15% missing",IF(G876="FLAG","Retain; test in robustness battery","Retain"))))</f>
        <v/>
      </c>
    </row>
    <row r="877">
      <c r="A877" s="55" t="n">
        <v>874</v>
      </c>
      <c r="B877" s="55">
        <f>IF('04_DATA'!A874="","",'04_DATA'!A874)</f>
        <v/>
      </c>
      <c r="C877" s="55">
        <f>IF('04_DATA'!A874="","",IF(AND('04_DATA'!G874=1,'04_DATA'!H874=1,'04_DATA'!I874&gt;=3),"eligible","EXCLUDE"))</f>
        <v/>
      </c>
      <c r="D877" s="55">
        <f>IF('04_DATA'!A874="","",37-COUNT('04_DATA'!$K874:$AU874))</f>
        <v/>
      </c>
      <c r="E877" s="63">
        <f>IF('04_DATA'!A874="","",(37-COUNT('04_DATA'!$K874:$AU874))/37)</f>
        <v/>
      </c>
      <c r="F877" s="55">
        <f>IF('04_DATA'!A874="","",IF(AND(COUNT('04_DATA'!$K874:$AU874)=37,COUNTIF('04_DATA'!$K874:$AU874,INDEX('04_DATA'!$K874:$AU874,1))=37),"EXCLUDE","ok"))</f>
        <v/>
      </c>
      <c r="G877" s="55">
        <f>IF('04_DATA'!A874="","",IF('04_DATA'!D874&lt;PERCENTILE('04_DATA'!$D$2:$D$1001,0.05),"FLAG","ok"))</f>
        <v/>
      </c>
      <c r="H877" s="55">
        <f>IF('04_DATA'!A874="","",IF(OR(C877="EXCLUDE",F877="EXCLUDE"),"Exclude under pre-specified rule",IF(E877&gt;0.15,"Exclude: &gt;15% missing",IF(G877="FLAG","Retain; test in robustness battery","Retain"))))</f>
        <v/>
      </c>
    </row>
    <row r="878">
      <c r="A878" s="55" t="n">
        <v>875</v>
      </c>
      <c r="B878" s="55">
        <f>IF('04_DATA'!A875="","",'04_DATA'!A875)</f>
        <v/>
      </c>
      <c r="C878" s="55">
        <f>IF('04_DATA'!A875="","",IF(AND('04_DATA'!G875=1,'04_DATA'!H875=1,'04_DATA'!I875&gt;=3),"eligible","EXCLUDE"))</f>
        <v/>
      </c>
      <c r="D878" s="55">
        <f>IF('04_DATA'!A875="","",37-COUNT('04_DATA'!$K875:$AU875))</f>
        <v/>
      </c>
      <c r="E878" s="63">
        <f>IF('04_DATA'!A875="","",(37-COUNT('04_DATA'!$K875:$AU875))/37)</f>
        <v/>
      </c>
      <c r="F878" s="55">
        <f>IF('04_DATA'!A875="","",IF(AND(COUNT('04_DATA'!$K875:$AU875)=37,COUNTIF('04_DATA'!$K875:$AU875,INDEX('04_DATA'!$K875:$AU875,1))=37),"EXCLUDE","ok"))</f>
        <v/>
      </c>
      <c r="G878" s="55">
        <f>IF('04_DATA'!A875="","",IF('04_DATA'!D875&lt;PERCENTILE('04_DATA'!$D$2:$D$1001,0.05),"FLAG","ok"))</f>
        <v/>
      </c>
      <c r="H878" s="55">
        <f>IF('04_DATA'!A875="","",IF(OR(C878="EXCLUDE",F878="EXCLUDE"),"Exclude under pre-specified rule",IF(E878&gt;0.15,"Exclude: &gt;15% missing",IF(G878="FLAG","Retain; test in robustness battery","Retain"))))</f>
        <v/>
      </c>
    </row>
    <row r="879">
      <c r="A879" s="55" t="n">
        <v>876</v>
      </c>
      <c r="B879" s="55">
        <f>IF('04_DATA'!A876="","",'04_DATA'!A876)</f>
        <v/>
      </c>
      <c r="C879" s="55">
        <f>IF('04_DATA'!A876="","",IF(AND('04_DATA'!G876=1,'04_DATA'!H876=1,'04_DATA'!I876&gt;=3),"eligible","EXCLUDE"))</f>
        <v/>
      </c>
      <c r="D879" s="55">
        <f>IF('04_DATA'!A876="","",37-COUNT('04_DATA'!$K876:$AU876))</f>
        <v/>
      </c>
      <c r="E879" s="63">
        <f>IF('04_DATA'!A876="","",(37-COUNT('04_DATA'!$K876:$AU876))/37)</f>
        <v/>
      </c>
      <c r="F879" s="55">
        <f>IF('04_DATA'!A876="","",IF(AND(COUNT('04_DATA'!$K876:$AU876)=37,COUNTIF('04_DATA'!$K876:$AU876,INDEX('04_DATA'!$K876:$AU876,1))=37),"EXCLUDE","ok"))</f>
        <v/>
      </c>
      <c r="G879" s="55">
        <f>IF('04_DATA'!A876="","",IF('04_DATA'!D876&lt;PERCENTILE('04_DATA'!$D$2:$D$1001,0.05),"FLAG","ok"))</f>
        <v/>
      </c>
      <c r="H879" s="55">
        <f>IF('04_DATA'!A876="","",IF(OR(C879="EXCLUDE",F879="EXCLUDE"),"Exclude under pre-specified rule",IF(E879&gt;0.15,"Exclude: &gt;15% missing",IF(G879="FLAG","Retain; test in robustness battery","Retain"))))</f>
        <v/>
      </c>
    </row>
    <row r="880">
      <c r="A880" s="55" t="n">
        <v>877</v>
      </c>
      <c r="B880" s="55">
        <f>IF('04_DATA'!A877="","",'04_DATA'!A877)</f>
        <v/>
      </c>
      <c r="C880" s="55">
        <f>IF('04_DATA'!A877="","",IF(AND('04_DATA'!G877=1,'04_DATA'!H877=1,'04_DATA'!I877&gt;=3),"eligible","EXCLUDE"))</f>
        <v/>
      </c>
      <c r="D880" s="55">
        <f>IF('04_DATA'!A877="","",37-COUNT('04_DATA'!$K877:$AU877))</f>
        <v/>
      </c>
      <c r="E880" s="63">
        <f>IF('04_DATA'!A877="","",(37-COUNT('04_DATA'!$K877:$AU877))/37)</f>
        <v/>
      </c>
      <c r="F880" s="55">
        <f>IF('04_DATA'!A877="","",IF(AND(COUNT('04_DATA'!$K877:$AU877)=37,COUNTIF('04_DATA'!$K877:$AU877,INDEX('04_DATA'!$K877:$AU877,1))=37),"EXCLUDE","ok"))</f>
        <v/>
      </c>
      <c r="G880" s="55">
        <f>IF('04_DATA'!A877="","",IF('04_DATA'!D877&lt;PERCENTILE('04_DATA'!$D$2:$D$1001,0.05),"FLAG","ok"))</f>
        <v/>
      </c>
      <c r="H880" s="55">
        <f>IF('04_DATA'!A877="","",IF(OR(C880="EXCLUDE",F880="EXCLUDE"),"Exclude under pre-specified rule",IF(E880&gt;0.15,"Exclude: &gt;15% missing",IF(G880="FLAG","Retain; test in robustness battery","Retain"))))</f>
        <v/>
      </c>
    </row>
    <row r="881">
      <c r="A881" s="55" t="n">
        <v>878</v>
      </c>
      <c r="B881" s="55">
        <f>IF('04_DATA'!A878="","",'04_DATA'!A878)</f>
        <v/>
      </c>
      <c r="C881" s="55">
        <f>IF('04_DATA'!A878="","",IF(AND('04_DATA'!G878=1,'04_DATA'!H878=1,'04_DATA'!I878&gt;=3),"eligible","EXCLUDE"))</f>
        <v/>
      </c>
      <c r="D881" s="55">
        <f>IF('04_DATA'!A878="","",37-COUNT('04_DATA'!$K878:$AU878))</f>
        <v/>
      </c>
      <c r="E881" s="63">
        <f>IF('04_DATA'!A878="","",(37-COUNT('04_DATA'!$K878:$AU878))/37)</f>
        <v/>
      </c>
      <c r="F881" s="55">
        <f>IF('04_DATA'!A878="","",IF(AND(COUNT('04_DATA'!$K878:$AU878)=37,COUNTIF('04_DATA'!$K878:$AU878,INDEX('04_DATA'!$K878:$AU878,1))=37),"EXCLUDE","ok"))</f>
        <v/>
      </c>
      <c r="G881" s="55">
        <f>IF('04_DATA'!A878="","",IF('04_DATA'!D878&lt;PERCENTILE('04_DATA'!$D$2:$D$1001,0.05),"FLAG","ok"))</f>
        <v/>
      </c>
      <c r="H881" s="55">
        <f>IF('04_DATA'!A878="","",IF(OR(C881="EXCLUDE",F881="EXCLUDE"),"Exclude under pre-specified rule",IF(E881&gt;0.15,"Exclude: &gt;15% missing",IF(G881="FLAG","Retain; test in robustness battery","Retain"))))</f>
        <v/>
      </c>
    </row>
    <row r="882">
      <c r="A882" s="55" t="n">
        <v>879</v>
      </c>
      <c r="B882" s="55">
        <f>IF('04_DATA'!A879="","",'04_DATA'!A879)</f>
        <v/>
      </c>
      <c r="C882" s="55">
        <f>IF('04_DATA'!A879="","",IF(AND('04_DATA'!G879=1,'04_DATA'!H879=1,'04_DATA'!I879&gt;=3),"eligible","EXCLUDE"))</f>
        <v/>
      </c>
      <c r="D882" s="55">
        <f>IF('04_DATA'!A879="","",37-COUNT('04_DATA'!$K879:$AU879))</f>
        <v/>
      </c>
      <c r="E882" s="63">
        <f>IF('04_DATA'!A879="","",(37-COUNT('04_DATA'!$K879:$AU879))/37)</f>
        <v/>
      </c>
      <c r="F882" s="55">
        <f>IF('04_DATA'!A879="","",IF(AND(COUNT('04_DATA'!$K879:$AU879)=37,COUNTIF('04_DATA'!$K879:$AU879,INDEX('04_DATA'!$K879:$AU879,1))=37),"EXCLUDE","ok"))</f>
        <v/>
      </c>
      <c r="G882" s="55">
        <f>IF('04_DATA'!A879="","",IF('04_DATA'!D879&lt;PERCENTILE('04_DATA'!$D$2:$D$1001,0.05),"FLAG","ok"))</f>
        <v/>
      </c>
      <c r="H882" s="55">
        <f>IF('04_DATA'!A879="","",IF(OR(C882="EXCLUDE",F882="EXCLUDE"),"Exclude under pre-specified rule",IF(E882&gt;0.15,"Exclude: &gt;15% missing",IF(G882="FLAG","Retain; test in robustness battery","Retain"))))</f>
        <v/>
      </c>
    </row>
    <row r="883">
      <c r="A883" s="55" t="n">
        <v>880</v>
      </c>
      <c r="B883" s="55">
        <f>IF('04_DATA'!A880="","",'04_DATA'!A880)</f>
        <v/>
      </c>
      <c r="C883" s="55">
        <f>IF('04_DATA'!A880="","",IF(AND('04_DATA'!G880=1,'04_DATA'!H880=1,'04_DATA'!I880&gt;=3),"eligible","EXCLUDE"))</f>
        <v/>
      </c>
      <c r="D883" s="55">
        <f>IF('04_DATA'!A880="","",37-COUNT('04_DATA'!$K880:$AU880))</f>
        <v/>
      </c>
      <c r="E883" s="63">
        <f>IF('04_DATA'!A880="","",(37-COUNT('04_DATA'!$K880:$AU880))/37)</f>
        <v/>
      </c>
      <c r="F883" s="55">
        <f>IF('04_DATA'!A880="","",IF(AND(COUNT('04_DATA'!$K880:$AU880)=37,COUNTIF('04_DATA'!$K880:$AU880,INDEX('04_DATA'!$K880:$AU880,1))=37),"EXCLUDE","ok"))</f>
        <v/>
      </c>
      <c r="G883" s="55">
        <f>IF('04_DATA'!A880="","",IF('04_DATA'!D880&lt;PERCENTILE('04_DATA'!$D$2:$D$1001,0.05),"FLAG","ok"))</f>
        <v/>
      </c>
      <c r="H883" s="55">
        <f>IF('04_DATA'!A880="","",IF(OR(C883="EXCLUDE",F883="EXCLUDE"),"Exclude under pre-specified rule",IF(E883&gt;0.15,"Exclude: &gt;15% missing",IF(G883="FLAG","Retain; test in robustness battery","Retain"))))</f>
        <v/>
      </c>
    </row>
    <row r="884">
      <c r="A884" s="55" t="n">
        <v>881</v>
      </c>
      <c r="B884" s="55">
        <f>IF('04_DATA'!A881="","",'04_DATA'!A881)</f>
        <v/>
      </c>
      <c r="C884" s="55">
        <f>IF('04_DATA'!A881="","",IF(AND('04_DATA'!G881=1,'04_DATA'!H881=1,'04_DATA'!I881&gt;=3),"eligible","EXCLUDE"))</f>
        <v/>
      </c>
      <c r="D884" s="55">
        <f>IF('04_DATA'!A881="","",37-COUNT('04_DATA'!$K881:$AU881))</f>
        <v/>
      </c>
      <c r="E884" s="63">
        <f>IF('04_DATA'!A881="","",(37-COUNT('04_DATA'!$K881:$AU881))/37)</f>
        <v/>
      </c>
      <c r="F884" s="55">
        <f>IF('04_DATA'!A881="","",IF(AND(COUNT('04_DATA'!$K881:$AU881)=37,COUNTIF('04_DATA'!$K881:$AU881,INDEX('04_DATA'!$K881:$AU881,1))=37),"EXCLUDE","ok"))</f>
        <v/>
      </c>
      <c r="G884" s="55">
        <f>IF('04_DATA'!A881="","",IF('04_DATA'!D881&lt;PERCENTILE('04_DATA'!$D$2:$D$1001,0.05),"FLAG","ok"))</f>
        <v/>
      </c>
      <c r="H884" s="55">
        <f>IF('04_DATA'!A881="","",IF(OR(C884="EXCLUDE",F884="EXCLUDE"),"Exclude under pre-specified rule",IF(E884&gt;0.15,"Exclude: &gt;15% missing",IF(G884="FLAG","Retain; test in robustness battery","Retain"))))</f>
        <v/>
      </c>
    </row>
    <row r="885">
      <c r="A885" s="55" t="n">
        <v>882</v>
      </c>
      <c r="B885" s="55">
        <f>IF('04_DATA'!A882="","",'04_DATA'!A882)</f>
        <v/>
      </c>
      <c r="C885" s="55">
        <f>IF('04_DATA'!A882="","",IF(AND('04_DATA'!G882=1,'04_DATA'!H882=1,'04_DATA'!I882&gt;=3),"eligible","EXCLUDE"))</f>
        <v/>
      </c>
      <c r="D885" s="55">
        <f>IF('04_DATA'!A882="","",37-COUNT('04_DATA'!$K882:$AU882))</f>
        <v/>
      </c>
      <c r="E885" s="63">
        <f>IF('04_DATA'!A882="","",(37-COUNT('04_DATA'!$K882:$AU882))/37)</f>
        <v/>
      </c>
      <c r="F885" s="55">
        <f>IF('04_DATA'!A882="","",IF(AND(COUNT('04_DATA'!$K882:$AU882)=37,COUNTIF('04_DATA'!$K882:$AU882,INDEX('04_DATA'!$K882:$AU882,1))=37),"EXCLUDE","ok"))</f>
        <v/>
      </c>
      <c r="G885" s="55">
        <f>IF('04_DATA'!A882="","",IF('04_DATA'!D882&lt;PERCENTILE('04_DATA'!$D$2:$D$1001,0.05),"FLAG","ok"))</f>
        <v/>
      </c>
      <c r="H885" s="55">
        <f>IF('04_DATA'!A882="","",IF(OR(C885="EXCLUDE",F885="EXCLUDE"),"Exclude under pre-specified rule",IF(E885&gt;0.15,"Exclude: &gt;15% missing",IF(G885="FLAG","Retain; test in robustness battery","Retain"))))</f>
        <v/>
      </c>
    </row>
    <row r="886">
      <c r="A886" s="55" t="n">
        <v>883</v>
      </c>
      <c r="B886" s="55">
        <f>IF('04_DATA'!A883="","",'04_DATA'!A883)</f>
        <v/>
      </c>
      <c r="C886" s="55">
        <f>IF('04_DATA'!A883="","",IF(AND('04_DATA'!G883=1,'04_DATA'!H883=1,'04_DATA'!I883&gt;=3),"eligible","EXCLUDE"))</f>
        <v/>
      </c>
      <c r="D886" s="55">
        <f>IF('04_DATA'!A883="","",37-COUNT('04_DATA'!$K883:$AU883))</f>
        <v/>
      </c>
      <c r="E886" s="63">
        <f>IF('04_DATA'!A883="","",(37-COUNT('04_DATA'!$K883:$AU883))/37)</f>
        <v/>
      </c>
      <c r="F886" s="55">
        <f>IF('04_DATA'!A883="","",IF(AND(COUNT('04_DATA'!$K883:$AU883)=37,COUNTIF('04_DATA'!$K883:$AU883,INDEX('04_DATA'!$K883:$AU883,1))=37),"EXCLUDE","ok"))</f>
        <v/>
      </c>
      <c r="G886" s="55">
        <f>IF('04_DATA'!A883="","",IF('04_DATA'!D883&lt;PERCENTILE('04_DATA'!$D$2:$D$1001,0.05),"FLAG","ok"))</f>
        <v/>
      </c>
      <c r="H886" s="55">
        <f>IF('04_DATA'!A883="","",IF(OR(C886="EXCLUDE",F886="EXCLUDE"),"Exclude under pre-specified rule",IF(E886&gt;0.15,"Exclude: &gt;15% missing",IF(G886="FLAG","Retain; test in robustness battery","Retain"))))</f>
        <v/>
      </c>
    </row>
    <row r="887">
      <c r="A887" s="55" t="n">
        <v>884</v>
      </c>
      <c r="B887" s="55">
        <f>IF('04_DATA'!A884="","",'04_DATA'!A884)</f>
        <v/>
      </c>
      <c r="C887" s="55">
        <f>IF('04_DATA'!A884="","",IF(AND('04_DATA'!G884=1,'04_DATA'!H884=1,'04_DATA'!I884&gt;=3),"eligible","EXCLUDE"))</f>
        <v/>
      </c>
      <c r="D887" s="55">
        <f>IF('04_DATA'!A884="","",37-COUNT('04_DATA'!$K884:$AU884))</f>
        <v/>
      </c>
      <c r="E887" s="63">
        <f>IF('04_DATA'!A884="","",(37-COUNT('04_DATA'!$K884:$AU884))/37)</f>
        <v/>
      </c>
      <c r="F887" s="55">
        <f>IF('04_DATA'!A884="","",IF(AND(COUNT('04_DATA'!$K884:$AU884)=37,COUNTIF('04_DATA'!$K884:$AU884,INDEX('04_DATA'!$K884:$AU884,1))=37),"EXCLUDE","ok"))</f>
        <v/>
      </c>
      <c r="G887" s="55">
        <f>IF('04_DATA'!A884="","",IF('04_DATA'!D884&lt;PERCENTILE('04_DATA'!$D$2:$D$1001,0.05),"FLAG","ok"))</f>
        <v/>
      </c>
      <c r="H887" s="55">
        <f>IF('04_DATA'!A884="","",IF(OR(C887="EXCLUDE",F887="EXCLUDE"),"Exclude under pre-specified rule",IF(E887&gt;0.15,"Exclude: &gt;15% missing",IF(G887="FLAG","Retain; test in robustness battery","Retain"))))</f>
        <v/>
      </c>
    </row>
    <row r="888">
      <c r="A888" s="55" t="n">
        <v>885</v>
      </c>
      <c r="B888" s="55">
        <f>IF('04_DATA'!A885="","",'04_DATA'!A885)</f>
        <v/>
      </c>
      <c r="C888" s="55">
        <f>IF('04_DATA'!A885="","",IF(AND('04_DATA'!G885=1,'04_DATA'!H885=1,'04_DATA'!I885&gt;=3),"eligible","EXCLUDE"))</f>
        <v/>
      </c>
      <c r="D888" s="55">
        <f>IF('04_DATA'!A885="","",37-COUNT('04_DATA'!$K885:$AU885))</f>
        <v/>
      </c>
      <c r="E888" s="63">
        <f>IF('04_DATA'!A885="","",(37-COUNT('04_DATA'!$K885:$AU885))/37)</f>
        <v/>
      </c>
      <c r="F888" s="55">
        <f>IF('04_DATA'!A885="","",IF(AND(COUNT('04_DATA'!$K885:$AU885)=37,COUNTIF('04_DATA'!$K885:$AU885,INDEX('04_DATA'!$K885:$AU885,1))=37),"EXCLUDE","ok"))</f>
        <v/>
      </c>
      <c r="G888" s="55">
        <f>IF('04_DATA'!A885="","",IF('04_DATA'!D885&lt;PERCENTILE('04_DATA'!$D$2:$D$1001,0.05),"FLAG","ok"))</f>
        <v/>
      </c>
      <c r="H888" s="55">
        <f>IF('04_DATA'!A885="","",IF(OR(C888="EXCLUDE",F888="EXCLUDE"),"Exclude under pre-specified rule",IF(E888&gt;0.15,"Exclude: &gt;15% missing",IF(G888="FLAG","Retain; test in robustness battery","Retain"))))</f>
        <v/>
      </c>
    </row>
    <row r="889">
      <c r="A889" s="55" t="n">
        <v>886</v>
      </c>
      <c r="B889" s="55">
        <f>IF('04_DATA'!A886="","",'04_DATA'!A886)</f>
        <v/>
      </c>
      <c r="C889" s="55">
        <f>IF('04_DATA'!A886="","",IF(AND('04_DATA'!G886=1,'04_DATA'!H886=1,'04_DATA'!I886&gt;=3),"eligible","EXCLUDE"))</f>
        <v/>
      </c>
      <c r="D889" s="55">
        <f>IF('04_DATA'!A886="","",37-COUNT('04_DATA'!$K886:$AU886))</f>
        <v/>
      </c>
      <c r="E889" s="63">
        <f>IF('04_DATA'!A886="","",(37-COUNT('04_DATA'!$K886:$AU886))/37)</f>
        <v/>
      </c>
      <c r="F889" s="55">
        <f>IF('04_DATA'!A886="","",IF(AND(COUNT('04_DATA'!$K886:$AU886)=37,COUNTIF('04_DATA'!$K886:$AU886,INDEX('04_DATA'!$K886:$AU886,1))=37),"EXCLUDE","ok"))</f>
        <v/>
      </c>
      <c r="G889" s="55">
        <f>IF('04_DATA'!A886="","",IF('04_DATA'!D886&lt;PERCENTILE('04_DATA'!$D$2:$D$1001,0.05),"FLAG","ok"))</f>
        <v/>
      </c>
      <c r="H889" s="55">
        <f>IF('04_DATA'!A886="","",IF(OR(C889="EXCLUDE",F889="EXCLUDE"),"Exclude under pre-specified rule",IF(E889&gt;0.15,"Exclude: &gt;15% missing",IF(G889="FLAG","Retain; test in robustness battery","Retain"))))</f>
        <v/>
      </c>
    </row>
    <row r="890">
      <c r="A890" s="55" t="n">
        <v>887</v>
      </c>
      <c r="B890" s="55">
        <f>IF('04_DATA'!A887="","",'04_DATA'!A887)</f>
        <v/>
      </c>
      <c r="C890" s="55">
        <f>IF('04_DATA'!A887="","",IF(AND('04_DATA'!G887=1,'04_DATA'!H887=1,'04_DATA'!I887&gt;=3),"eligible","EXCLUDE"))</f>
        <v/>
      </c>
      <c r="D890" s="55">
        <f>IF('04_DATA'!A887="","",37-COUNT('04_DATA'!$K887:$AU887))</f>
        <v/>
      </c>
      <c r="E890" s="63">
        <f>IF('04_DATA'!A887="","",(37-COUNT('04_DATA'!$K887:$AU887))/37)</f>
        <v/>
      </c>
      <c r="F890" s="55">
        <f>IF('04_DATA'!A887="","",IF(AND(COUNT('04_DATA'!$K887:$AU887)=37,COUNTIF('04_DATA'!$K887:$AU887,INDEX('04_DATA'!$K887:$AU887,1))=37),"EXCLUDE","ok"))</f>
        <v/>
      </c>
      <c r="G890" s="55">
        <f>IF('04_DATA'!A887="","",IF('04_DATA'!D887&lt;PERCENTILE('04_DATA'!$D$2:$D$1001,0.05),"FLAG","ok"))</f>
        <v/>
      </c>
      <c r="H890" s="55">
        <f>IF('04_DATA'!A887="","",IF(OR(C890="EXCLUDE",F890="EXCLUDE"),"Exclude under pre-specified rule",IF(E890&gt;0.15,"Exclude: &gt;15% missing",IF(G890="FLAG","Retain; test in robustness battery","Retain"))))</f>
        <v/>
      </c>
    </row>
    <row r="891">
      <c r="A891" s="55" t="n">
        <v>888</v>
      </c>
      <c r="B891" s="55">
        <f>IF('04_DATA'!A888="","",'04_DATA'!A888)</f>
        <v/>
      </c>
      <c r="C891" s="55">
        <f>IF('04_DATA'!A888="","",IF(AND('04_DATA'!G888=1,'04_DATA'!H888=1,'04_DATA'!I888&gt;=3),"eligible","EXCLUDE"))</f>
        <v/>
      </c>
      <c r="D891" s="55">
        <f>IF('04_DATA'!A888="","",37-COUNT('04_DATA'!$K888:$AU888))</f>
        <v/>
      </c>
      <c r="E891" s="63">
        <f>IF('04_DATA'!A888="","",(37-COUNT('04_DATA'!$K888:$AU888))/37)</f>
        <v/>
      </c>
      <c r="F891" s="55">
        <f>IF('04_DATA'!A888="","",IF(AND(COUNT('04_DATA'!$K888:$AU888)=37,COUNTIF('04_DATA'!$K888:$AU888,INDEX('04_DATA'!$K888:$AU888,1))=37),"EXCLUDE","ok"))</f>
        <v/>
      </c>
      <c r="G891" s="55">
        <f>IF('04_DATA'!A888="","",IF('04_DATA'!D888&lt;PERCENTILE('04_DATA'!$D$2:$D$1001,0.05),"FLAG","ok"))</f>
        <v/>
      </c>
      <c r="H891" s="55">
        <f>IF('04_DATA'!A888="","",IF(OR(C891="EXCLUDE",F891="EXCLUDE"),"Exclude under pre-specified rule",IF(E891&gt;0.15,"Exclude: &gt;15% missing",IF(G891="FLAG","Retain; test in robustness battery","Retain"))))</f>
        <v/>
      </c>
    </row>
    <row r="892">
      <c r="A892" s="55" t="n">
        <v>889</v>
      </c>
      <c r="B892" s="55">
        <f>IF('04_DATA'!A889="","",'04_DATA'!A889)</f>
        <v/>
      </c>
      <c r="C892" s="55">
        <f>IF('04_DATA'!A889="","",IF(AND('04_DATA'!G889=1,'04_DATA'!H889=1,'04_DATA'!I889&gt;=3),"eligible","EXCLUDE"))</f>
        <v/>
      </c>
      <c r="D892" s="55">
        <f>IF('04_DATA'!A889="","",37-COUNT('04_DATA'!$K889:$AU889))</f>
        <v/>
      </c>
      <c r="E892" s="63">
        <f>IF('04_DATA'!A889="","",(37-COUNT('04_DATA'!$K889:$AU889))/37)</f>
        <v/>
      </c>
      <c r="F892" s="55">
        <f>IF('04_DATA'!A889="","",IF(AND(COUNT('04_DATA'!$K889:$AU889)=37,COUNTIF('04_DATA'!$K889:$AU889,INDEX('04_DATA'!$K889:$AU889,1))=37),"EXCLUDE","ok"))</f>
        <v/>
      </c>
      <c r="G892" s="55">
        <f>IF('04_DATA'!A889="","",IF('04_DATA'!D889&lt;PERCENTILE('04_DATA'!$D$2:$D$1001,0.05),"FLAG","ok"))</f>
        <v/>
      </c>
      <c r="H892" s="55">
        <f>IF('04_DATA'!A889="","",IF(OR(C892="EXCLUDE",F892="EXCLUDE"),"Exclude under pre-specified rule",IF(E892&gt;0.15,"Exclude: &gt;15% missing",IF(G892="FLAG","Retain; test in robustness battery","Retain"))))</f>
        <v/>
      </c>
    </row>
    <row r="893">
      <c r="A893" s="55" t="n">
        <v>890</v>
      </c>
      <c r="B893" s="55">
        <f>IF('04_DATA'!A890="","",'04_DATA'!A890)</f>
        <v/>
      </c>
      <c r="C893" s="55">
        <f>IF('04_DATA'!A890="","",IF(AND('04_DATA'!G890=1,'04_DATA'!H890=1,'04_DATA'!I890&gt;=3),"eligible","EXCLUDE"))</f>
        <v/>
      </c>
      <c r="D893" s="55">
        <f>IF('04_DATA'!A890="","",37-COUNT('04_DATA'!$K890:$AU890))</f>
        <v/>
      </c>
      <c r="E893" s="63">
        <f>IF('04_DATA'!A890="","",(37-COUNT('04_DATA'!$K890:$AU890))/37)</f>
        <v/>
      </c>
      <c r="F893" s="55">
        <f>IF('04_DATA'!A890="","",IF(AND(COUNT('04_DATA'!$K890:$AU890)=37,COUNTIF('04_DATA'!$K890:$AU890,INDEX('04_DATA'!$K890:$AU890,1))=37),"EXCLUDE","ok"))</f>
        <v/>
      </c>
      <c r="G893" s="55">
        <f>IF('04_DATA'!A890="","",IF('04_DATA'!D890&lt;PERCENTILE('04_DATA'!$D$2:$D$1001,0.05),"FLAG","ok"))</f>
        <v/>
      </c>
      <c r="H893" s="55">
        <f>IF('04_DATA'!A890="","",IF(OR(C893="EXCLUDE",F893="EXCLUDE"),"Exclude under pre-specified rule",IF(E893&gt;0.15,"Exclude: &gt;15% missing",IF(G893="FLAG","Retain; test in robustness battery","Retain"))))</f>
        <v/>
      </c>
    </row>
    <row r="894">
      <c r="A894" s="55" t="n">
        <v>891</v>
      </c>
      <c r="B894" s="55">
        <f>IF('04_DATA'!A891="","",'04_DATA'!A891)</f>
        <v/>
      </c>
      <c r="C894" s="55">
        <f>IF('04_DATA'!A891="","",IF(AND('04_DATA'!G891=1,'04_DATA'!H891=1,'04_DATA'!I891&gt;=3),"eligible","EXCLUDE"))</f>
        <v/>
      </c>
      <c r="D894" s="55">
        <f>IF('04_DATA'!A891="","",37-COUNT('04_DATA'!$K891:$AU891))</f>
        <v/>
      </c>
      <c r="E894" s="63">
        <f>IF('04_DATA'!A891="","",(37-COUNT('04_DATA'!$K891:$AU891))/37)</f>
        <v/>
      </c>
      <c r="F894" s="55">
        <f>IF('04_DATA'!A891="","",IF(AND(COUNT('04_DATA'!$K891:$AU891)=37,COUNTIF('04_DATA'!$K891:$AU891,INDEX('04_DATA'!$K891:$AU891,1))=37),"EXCLUDE","ok"))</f>
        <v/>
      </c>
      <c r="G894" s="55">
        <f>IF('04_DATA'!A891="","",IF('04_DATA'!D891&lt;PERCENTILE('04_DATA'!$D$2:$D$1001,0.05),"FLAG","ok"))</f>
        <v/>
      </c>
      <c r="H894" s="55">
        <f>IF('04_DATA'!A891="","",IF(OR(C894="EXCLUDE",F894="EXCLUDE"),"Exclude under pre-specified rule",IF(E894&gt;0.15,"Exclude: &gt;15% missing",IF(G894="FLAG","Retain; test in robustness battery","Retain"))))</f>
        <v/>
      </c>
    </row>
    <row r="895">
      <c r="A895" s="55" t="n">
        <v>892</v>
      </c>
      <c r="B895" s="55">
        <f>IF('04_DATA'!A892="","",'04_DATA'!A892)</f>
        <v/>
      </c>
      <c r="C895" s="55">
        <f>IF('04_DATA'!A892="","",IF(AND('04_DATA'!G892=1,'04_DATA'!H892=1,'04_DATA'!I892&gt;=3),"eligible","EXCLUDE"))</f>
        <v/>
      </c>
      <c r="D895" s="55">
        <f>IF('04_DATA'!A892="","",37-COUNT('04_DATA'!$K892:$AU892))</f>
        <v/>
      </c>
      <c r="E895" s="63">
        <f>IF('04_DATA'!A892="","",(37-COUNT('04_DATA'!$K892:$AU892))/37)</f>
        <v/>
      </c>
      <c r="F895" s="55">
        <f>IF('04_DATA'!A892="","",IF(AND(COUNT('04_DATA'!$K892:$AU892)=37,COUNTIF('04_DATA'!$K892:$AU892,INDEX('04_DATA'!$K892:$AU892,1))=37),"EXCLUDE","ok"))</f>
        <v/>
      </c>
      <c r="G895" s="55">
        <f>IF('04_DATA'!A892="","",IF('04_DATA'!D892&lt;PERCENTILE('04_DATA'!$D$2:$D$1001,0.05),"FLAG","ok"))</f>
        <v/>
      </c>
      <c r="H895" s="55">
        <f>IF('04_DATA'!A892="","",IF(OR(C895="EXCLUDE",F895="EXCLUDE"),"Exclude under pre-specified rule",IF(E895&gt;0.15,"Exclude: &gt;15% missing",IF(G895="FLAG","Retain; test in robustness battery","Retain"))))</f>
        <v/>
      </c>
    </row>
    <row r="896">
      <c r="A896" s="55" t="n">
        <v>893</v>
      </c>
      <c r="B896" s="55">
        <f>IF('04_DATA'!A893="","",'04_DATA'!A893)</f>
        <v/>
      </c>
      <c r="C896" s="55">
        <f>IF('04_DATA'!A893="","",IF(AND('04_DATA'!G893=1,'04_DATA'!H893=1,'04_DATA'!I893&gt;=3),"eligible","EXCLUDE"))</f>
        <v/>
      </c>
      <c r="D896" s="55">
        <f>IF('04_DATA'!A893="","",37-COUNT('04_DATA'!$K893:$AU893))</f>
        <v/>
      </c>
      <c r="E896" s="63">
        <f>IF('04_DATA'!A893="","",(37-COUNT('04_DATA'!$K893:$AU893))/37)</f>
        <v/>
      </c>
      <c r="F896" s="55">
        <f>IF('04_DATA'!A893="","",IF(AND(COUNT('04_DATA'!$K893:$AU893)=37,COUNTIF('04_DATA'!$K893:$AU893,INDEX('04_DATA'!$K893:$AU893,1))=37),"EXCLUDE","ok"))</f>
        <v/>
      </c>
      <c r="G896" s="55">
        <f>IF('04_DATA'!A893="","",IF('04_DATA'!D893&lt;PERCENTILE('04_DATA'!$D$2:$D$1001,0.05),"FLAG","ok"))</f>
        <v/>
      </c>
      <c r="H896" s="55">
        <f>IF('04_DATA'!A893="","",IF(OR(C896="EXCLUDE",F896="EXCLUDE"),"Exclude under pre-specified rule",IF(E896&gt;0.15,"Exclude: &gt;15% missing",IF(G896="FLAG","Retain; test in robustness battery","Retain"))))</f>
        <v/>
      </c>
    </row>
    <row r="897">
      <c r="A897" s="55" t="n">
        <v>894</v>
      </c>
      <c r="B897" s="55">
        <f>IF('04_DATA'!A894="","",'04_DATA'!A894)</f>
        <v/>
      </c>
      <c r="C897" s="55">
        <f>IF('04_DATA'!A894="","",IF(AND('04_DATA'!G894=1,'04_DATA'!H894=1,'04_DATA'!I894&gt;=3),"eligible","EXCLUDE"))</f>
        <v/>
      </c>
      <c r="D897" s="55">
        <f>IF('04_DATA'!A894="","",37-COUNT('04_DATA'!$K894:$AU894))</f>
        <v/>
      </c>
      <c r="E897" s="63">
        <f>IF('04_DATA'!A894="","",(37-COUNT('04_DATA'!$K894:$AU894))/37)</f>
        <v/>
      </c>
      <c r="F897" s="55">
        <f>IF('04_DATA'!A894="","",IF(AND(COUNT('04_DATA'!$K894:$AU894)=37,COUNTIF('04_DATA'!$K894:$AU894,INDEX('04_DATA'!$K894:$AU894,1))=37),"EXCLUDE","ok"))</f>
        <v/>
      </c>
      <c r="G897" s="55">
        <f>IF('04_DATA'!A894="","",IF('04_DATA'!D894&lt;PERCENTILE('04_DATA'!$D$2:$D$1001,0.05),"FLAG","ok"))</f>
        <v/>
      </c>
      <c r="H897" s="55">
        <f>IF('04_DATA'!A894="","",IF(OR(C897="EXCLUDE",F897="EXCLUDE"),"Exclude under pre-specified rule",IF(E897&gt;0.15,"Exclude: &gt;15% missing",IF(G897="FLAG","Retain; test in robustness battery","Retain"))))</f>
        <v/>
      </c>
    </row>
    <row r="898">
      <c r="A898" s="55" t="n">
        <v>895</v>
      </c>
      <c r="B898" s="55">
        <f>IF('04_DATA'!A895="","",'04_DATA'!A895)</f>
        <v/>
      </c>
      <c r="C898" s="55">
        <f>IF('04_DATA'!A895="","",IF(AND('04_DATA'!G895=1,'04_DATA'!H895=1,'04_DATA'!I895&gt;=3),"eligible","EXCLUDE"))</f>
        <v/>
      </c>
      <c r="D898" s="55">
        <f>IF('04_DATA'!A895="","",37-COUNT('04_DATA'!$K895:$AU895))</f>
        <v/>
      </c>
      <c r="E898" s="63">
        <f>IF('04_DATA'!A895="","",(37-COUNT('04_DATA'!$K895:$AU895))/37)</f>
        <v/>
      </c>
      <c r="F898" s="55">
        <f>IF('04_DATA'!A895="","",IF(AND(COUNT('04_DATA'!$K895:$AU895)=37,COUNTIF('04_DATA'!$K895:$AU895,INDEX('04_DATA'!$K895:$AU895,1))=37),"EXCLUDE","ok"))</f>
        <v/>
      </c>
      <c r="G898" s="55">
        <f>IF('04_DATA'!A895="","",IF('04_DATA'!D895&lt;PERCENTILE('04_DATA'!$D$2:$D$1001,0.05),"FLAG","ok"))</f>
        <v/>
      </c>
      <c r="H898" s="55">
        <f>IF('04_DATA'!A895="","",IF(OR(C898="EXCLUDE",F898="EXCLUDE"),"Exclude under pre-specified rule",IF(E898&gt;0.15,"Exclude: &gt;15% missing",IF(G898="FLAG","Retain; test in robustness battery","Retain"))))</f>
        <v/>
      </c>
    </row>
    <row r="899">
      <c r="A899" s="55" t="n">
        <v>896</v>
      </c>
      <c r="B899" s="55">
        <f>IF('04_DATA'!A896="","",'04_DATA'!A896)</f>
        <v/>
      </c>
      <c r="C899" s="55">
        <f>IF('04_DATA'!A896="","",IF(AND('04_DATA'!G896=1,'04_DATA'!H896=1,'04_DATA'!I896&gt;=3),"eligible","EXCLUDE"))</f>
        <v/>
      </c>
      <c r="D899" s="55">
        <f>IF('04_DATA'!A896="","",37-COUNT('04_DATA'!$K896:$AU896))</f>
        <v/>
      </c>
      <c r="E899" s="63">
        <f>IF('04_DATA'!A896="","",(37-COUNT('04_DATA'!$K896:$AU896))/37)</f>
        <v/>
      </c>
      <c r="F899" s="55">
        <f>IF('04_DATA'!A896="","",IF(AND(COUNT('04_DATA'!$K896:$AU896)=37,COUNTIF('04_DATA'!$K896:$AU896,INDEX('04_DATA'!$K896:$AU896,1))=37),"EXCLUDE","ok"))</f>
        <v/>
      </c>
      <c r="G899" s="55">
        <f>IF('04_DATA'!A896="","",IF('04_DATA'!D896&lt;PERCENTILE('04_DATA'!$D$2:$D$1001,0.05),"FLAG","ok"))</f>
        <v/>
      </c>
      <c r="H899" s="55">
        <f>IF('04_DATA'!A896="","",IF(OR(C899="EXCLUDE",F899="EXCLUDE"),"Exclude under pre-specified rule",IF(E899&gt;0.15,"Exclude: &gt;15% missing",IF(G899="FLAG","Retain; test in robustness battery","Retain"))))</f>
        <v/>
      </c>
    </row>
    <row r="900">
      <c r="A900" s="55" t="n">
        <v>897</v>
      </c>
      <c r="B900" s="55">
        <f>IF('04_DATA'!A897="","",'04_DATA'!A897)</f>
        <v/>
      </c>
      <c r="C900" s="55">
        <f>IF('04_DATA'!A897="","",IF(AND('04_DATA'!G897=1,'04_DATA'!H897=1,'04_DATA'!I897&gt;=3),"eligible","EXCLUDE"))</f>
        <v/>
      </c>
      <c r="D900" s="55">
        <f>IF('04_DATA'!A897="","",37-COUNT('04_DATA'!$K897:$AU897))</f>
        <v/>
      </c>
      <c r="E900" s="63">
        <f>IF('04_DATA'!A897="","",(37-COUNT('04_DATA'!$K897:$AU897))/37)</f>
        <v/>
      </c>
      <c r="F900" s="55">
        <f>IF('04_DATA'!A897="","",IF(AND(COUNT('04_DATA'!$K897:$AU897)=37,COUNTIF('04_DATA'!$K897:$AU897,INDEX('04_DATA'!$K897:$AU897,1))=37),"EXCLUDE","ok"))</f>
        <v/>
      </c>
      <c r="G900" s="55">
        <f>IF('04_DATA'!A897="","",IF('04_DATA'!D897&lt;PERCENTILE('04_DATA'!$D$2:$D$1001,0.05),"FLAG","ok"))</f>
        <v/>
      </c>
      <c r="H900" s="55">
        <f>IF('04_DATA'!A897="","",IF(OR(C900="EXCLUDE",F900="EXCLUDE"),"Exclude under pre-specified rule",IF(E900&gt;0.15,"Exclude: &gt;15% missing",IF(G900="FLAG","Retain; test in robustness battery","Retain"))))</f>
        <v/>
      </c>
    </row>
    <row r="901">
      <c r="A901" s="55" t="n">
        <v>898</v>
      </c>
      <c r="B901" s="55">
        <f>IF('04_DATA'!A898="","",'04_DATA'!A898)</f>
        <v/>
      </c>
      <c r="C901" s="55">
        <f>IF('04_DATA'!A898="","",IF(AND('04_DATA'!G898=1,'04_DATA'!H898=1,'04_DATA'!I898&gt;=3),"eligible","EXCLUDE"))</f>
        <v/>
      </c>
      <c r="D901" s="55">
        <f>IF('04_DATA'!A898="","",37-COUNT('04_DATA'!$K898:$AU898))</f>
        <v/>
      </c>
      <c r="E901" s="63">
        <f>IF('04_DATA'!A898="","",(37-COUNT('04_DATA'!$K898:$AU898))/37)</f>
        <v/>
      </c>
      <c r="F901" s="55">
        <f>IF('04_DATA'!A898="","",IF(AND(COUNT('04_DATA'!$K898:$AU898)=37,COUNTIF('04_DATA'!$K898:$AU898,INDEX('04_DATA'!$K898:$AU898,1))=37),"EXCLUDE","ok"))</f>
        <v/>
      </c>
      <c r="G901" s="55">
        <f>IF('04_DATA'!A898="","",IF('04_DATA'!D898&lt;PERCENTILE('04_DATA'!$D$2:$D$1001,0.05),"FLAG","ok"))</f>
        <v/>
      </c>
      <c r="H901" s="55">
        <f>IF('04_DATA'!A898="","",IF(OR(C901="EXCLUDE",F901="EXCLUDE"),"Exclude under pre-specified rule",IF(E901&gt;0.15,"Exclude: &gt;15% missing",IF(G901="FLAG","Retain; test in robustness battery","Retain"))))</f>
        <v/>
      </c>
    </row>
    <row r="902">
      <c r="A902" s="55" t="n">
        <v>899</v>
      </c>
      <c r="B902" s="55">
        <f>IF('04_DATA'!A899="","",'04_DATA'!A899)</f>
        <v/>
      </c>
      <c r="C902" s="55">
        <f>IF('04_DATA'!A899="","",IF(AND('04_DATA'!G899=1,'04_DATA'!H899=1,'04_DATA'!I899&gt;=3),"eligible","EXCLUDE"))</f>
        <v/>
      </c>
      <c r="D902" s="55">
        <f>IF('04_DATA'!A899="","",37-COUNT('04_DATA'!$K899:$AU899))</f>
        <v/>
      </c>
      <c r="E902" s="63">
        <f>IF('04_DATA'!A899="","",(37-COUNT('04_DATA'!$K899:$AU899))/37)</f>
        <v/>
      </c>
      <c r="F902" s="55">
        <f>IF('04_DATA'!A899="","",IF(AND(COUNT('04_DATA'!$K899:$AU899)=37,COUNTIF('04_DATA'!$K899:$AU899,INDEX('04_DATA'!$K899:$AU899,1))=37),"EXCLUDE","ok"))</f>
        <v/>
      </c>
      <c r="G902" s="55">
        <f>IF('04_DATA'!A899="","",IF('04_DATA'!D899&lt;PERCENTILE('04_DATA'!$D$2:$D$1001,0.05),"FLAG","ok"))</f>
        <v/>
      </c>
      <c r="H902" s="55">
        <f>IF('04_DATA'!A899="","",IF(OR(C902="EXCLUDE",F902="EXCLUDE"),"Exclude under pre-specified rule",IF(E902&gt;0.15,"Exclude: &gt;15% missing",IF(G902="FLAG","Retain; test in robustness battery","Retain"))))</f>
        <v/>
      </c>
    </row>
    <row r="903">
      <c r="A903" s="55" t="n">
        <v>900</v>
      </c>
      <c r="B903" s="55">
        <f>IF('04_DATA'!A900="","",'04_DATA'!A900)</f>
        <v/>
      </c>
      <c r="C903" s="55">
        <f>IF('04_DATA'!A900="","",IF(AND('04_DATA'!G900=1,'04_DATA'!H900=1,'04_DATA'!I900&gt;=3),"eligible","EXCLUDE"))</f>
        <v/>
      </c>
      <c r="D903" s="55">
        <f>IF('04_DATA'!A900="","",37-COUNT('04_DATA'!$K900:$AU900))</f>
        <v/>
      </c>
      <c r="E903" s="63">
        <f>IF('04_DATA'!A900="","",(37-COUNT('04_DATA'!$K900:$AU900))/37)</f>
        <v/>
      </c>
      <c r="F903" s="55">
        <f>IF('04_DATA'!A900="","",IF(AND(COUNT('04_DATA'!$K900:$AU900)=37,COUNTIF('04_DATA'!$K900:$AU900,INDEX('04_DATA'!$K900:$AU900,1))=37),"EXCLUDE","ok"))</f>
        <v/>
      </c>
      <c r="G903" s="55">
        <f>IF('04_DATA'!A900="","",IF('04_DATA'!D900&lt;PERCENTILE('04_DATA'!$D$2:$D$1001,0.05),"FLAG","ok"))</f>
        <v/>
      </c>
      <c r="H903" s="55">
        <f>IF('04_DATA'!A900="","",IF(OR(C903="EXCLUDE",F903="EXCLUDE"),"Exclude under pre-specified rule",IF(E903&gt;0.15,"Exclude: &gt;15% missing",IF(G903="FLAG","Retain; test in robustness battery","Retain"))))</f>
        <v/>
      </c>
    </row>
    <row r="904">
      <c r="A904" s="55" t="n">
        <v>901</v>
      </c>
      <c r="B904" s="55">
        <f>IF('04_DATA'!A901="","",'04_DATA'!A901)</f>
        <v/>
      </c>
      <c r="C904" s="55">
        <f>IF('04_DATA'!A901="","",IF(AND('04_DATA'!G901=1,'04_DATA'!H901=1,'04_DATA'!I901&gt;=3),"eligible","EXCLUDE"))</f>
        <v/>
      </c>
      <c r="D904" s="55">
        <f>IF('04_DATA'!A901="","",37-COUNT('04_DATA'!$K901:$AU901))</f>
        <v/>
      </c>
      <c r="E904" s="63">
        <f>IF('04_DATA'!A901="","",(37-COUNT('04_DATA'!$K901:$AU901))/37)</f>
        <v/>
      </c>
      <c r="F904" s="55">
        <f>IF('04_DATA'!A901="","",IF(AND(COUNT('04_DATA'!$K901:$AU901)=37,COUNTIF('04_DATA'!$K901:$AU901,INDEX('04_DATA'!$K901:$AU901,1))=37),"EXCLUDE","ok"))</f>
        <v/>
      </c>
      <c r="G904" s="55">
        <f>IF('04_DATA'!A901="","",IF('04_DATA'!D901&lt;PERCENTILE('04_DATA'!$D$2:$D$1001,0.05),"FLAG","ok"))</f>
        <v/>
      </c>
      <c r="H904" s="55">
        <f>IF('04_DATA'!A901="","",IF(OR(C904="EXCLUDE",F904="EXCLUDE"),"Exclude under pre-specified rule",IF(E904&gt;0.15,"Exclude: &gt;15% missing",IF(G904="FLAG","Retain; test in robustness battery","Retain"))))</f>
        <v/>
      </c>
    </row>
    <row r="905">
      <c r="A905" s="55" t="n">
        <v>902</v>
      </c>
      <c r="B905" s="55">
        <f>IF('04_DATA'!A902="","",'04_DATA'!A902)</f>
        <v/>
      </c>
      <c r="C905" s="55">
        <f>IF('04_DATA'!A902="","",IF(AND('04_DATA'!G902=1,'04_DATA'!H902=1,'04_DATA'!I902&gt;=3),"eligible","EXCLUDE"))</f>
        <v/>
      </c>
      <c r="D905" s="55">
        <f>IF('04_DATA'!A902="","",37-COUNT('04_DATA'!$K902:$AU902))</f>
        <v/>
      </c>
      <c r="E905" s="63">
        <f>IF('04_DATA'!A902="","",(37-COUNT('04_DATA'!$K902:$AU902))/37)</f>
        <v/>
      </c>
      <c r="F905" s="55">
        <f>IF('04_DATA'!A902="","",IF(AND(COUNT('04_DATA'!$K902:$AU902)=37,COUNTIF('04_DATA'!$K902:$AU902,INDEX('04_DATA'!$K902:$AU902,1))=37),"EXCLUDE","ok"))</f>
        <v/>
      </c>
      <c r="G905" s="55">
        <f>IF('04_DATA'!A902="","",IF('04_DATA'!D902&lt;PERCENTILE('04_DATA'!$D$2:$D$1001,0.05),"FLAG","ok"))</f>
        <v/>
      </c>
      <c r="H905" s="55">
        <f>IF('04_DATA'!A902="","",IF(OR(C905="EXCLUDE",F905="EXCLUDE"),"Exclude under pre-specified rule",IF(E905&gt;0.15,"Exclude: &gt;15% missing",IF(G905="FLAG","Retain; test in robustness battery","Retain"))))</f>
        <v/>
      </c>
    </row>
    <row r="906">
      <c r="A906" s="55" t="n">
        <v>903</v>
      </c>
      <c r="B906" s="55">
        <f>IF('04_DATA'!A903="","",'04_DATA'!A903)</f>
        <v/>
      </c>
      <c r="C906" s="55">
        <f>IF('04_DATA'!A903="","",IF(AND('04_DATA'!G903=1,'04_DATA'!H903=1,'04_DATA'!I903&gt;=3),"eligible","EXCLUDE"))</f>
        <v/>
      </c>
      <c r="D906" s="55">
        <f>IF('04_DATA'!A903="","",37-COUNT('04_DATA'!$K903:$AU903))</f>
        <v/>
      </c>
      <c r="E906" s="63">
        <f>IF('04_DATA'!A903="","",(37-COUNT('04_DATA'!$K903:$AU903))/37)</f>
        <v/>
      </c>
      <c r="F906" s="55">
        <f>IF('04_DATA'!A903="","",IF(AND(COUNT('04_DATA'!$K903:$AU903)=37,COUNTIF('04_DATA'!$K903:$AU903,INDEX('04_DATA'!$K903:$AU903,1))=37),"EXCLUDE","ok"))</f>
        <v/>
      </c>
      <c r="G906" s="55">
        <f>IF('04_DATA'!A903="","",IF('04_DATA'!D903&lt;PERCENTILE('04_DATA'!$D$2:$D$1001,0.05),"FLAG","ok"))</f>
        <v/>
      </c>
      <c r="H906" s="55">
        <f>IF('04_DATA'!A903="","",IF(OR(C906="EXCLUDE",F906="EXCLUDE"),"Exclude under pre-specified rule",IF(E906&gt;0.15,"Exclude: &gt;15% missing",IF(G906="FLAG","Retain; test in robustness battery","Retain"))))</f>
        <v/>
      </c>
    </row>
    <row r="907">
      <c r="A907" s="55" t="n">
        <v>904</v>
      </c>
      <c r="B907" s="55">
        <f>IF('04_DATA'!A904="","",'04_DATA'!A904)</f>
        <v/>
      </c>
      <c r="C907" s="55">
        <f>IF('04_DATA'!A904="","",IF(AND('04_DATA'!G904=1,'04_DATA'!H904=1,'04_DATA'!I904&gt;=3),"eligible","EXCLUDE"))</f>
        <v/>
      </c>
      <c r="D907" s="55">
        <f>IF('04_DATA'!A904="","",37-COUNT('04_DATA'!$K904:$AU904))</f>
        <v/>
      </c>
      <c r="E907" s="63">
        <f>IF('04_DATA'!A904="","",(37-COUNT('04_DATA'!$K904:$AU904))/37)</f>
        <v/>
      </c>
      <c r="F907" s="55">
        <f>IF('04_DATA'!A904="","",IF(AND(COUNT('04_DATA'!$K904:$AU904)=37,COUNTIF('04_DATA'!$K904:$AU904,INDEX('04_DATA'!$K904:$AU904,1))=37),"EXCLUDE","ok"))</f>
        <v/>
      </c>
      <c r="G907" s="55">
        <f>IF('04_DATA'!A904="","",IF('04_DATA'!D904&lt;PERCENTILE('04_DATA'!$D$2:$D$1001,0.05),"FLAG","ok"))</f>
        <v/>
      </c>
      <c r="H907" s="55">
        <f>IF('04_DATA'!A904="","",IF(OR(C907="EXCLUDE",F907="EXCLUDE"),"Exclude under pre-specified rule",IF(E907&gt;0.15,"Exclude: &gt;15% missing",IF(G907="FLAG","Retain; test in robustness battery","Retain"))))</f>
        <v/>
      </c>
    </row>
    <row r="908">
      <c r="A908" s="55" t="n">
        <v>905</v>
      </c>
      <c r="B908" s="55">
        <f>IF('04_DATA'!A905="","",'04_DATA'!A905)</f>
        <v/>
      </c>
      <c r="C908" s="55">
        <f>IF('04_DATA'!A905="","",IF(AND('04_DATA'!G905=1,'04_DATA'!H905=1,'04_DATA'!I905&gt;=3),"eligible","EXCLUDE"))</f>
        <v/>
      </c>
      <c r="D908" s="55">
        <f>IF('04_DATA'!A905="","",37-COUNT('04_DATA'!$K905:$AU905))</f>
        <v/>
      </c>
      <c r="E908" s="63">
        <f>IF('04_DATA'!A905="","",(37-COUNT('04_DATA'!$K905:$AU905))/37)</f>
        <v/>
      </c>
      <c r="F908" s="55">
        <f>IF('04_DATA'!A905="","",IF(AND(COUNT('04_DATA'!$K905:$AU905)=37,COUNTIF('04_DATA'!$K905:$AU905,INDEX('04_DATA'!$K905:$AU905,1))=37),"EXCLUDE","ok"))</f>
        <v/>
      </c>
      <c r="G908" s="55">
        <f>IF('04_DATA'!A905="","",IF('04_DATA'!D905&lt;PERCENTILE('04_DATA'!$D$2:$D$1001,0.05),"FLAG","ok"))</f>
        <v/>
      </c>
      <c r="H908" s="55">
        <f>IF('04_DATA'!A905="","",IF(OR(C908="EXCLUDE",F908="EXCLUDE"),"Exclude under pre-specified rule",IF(E908&gt;0.15,"Exclude: &gt;15% missing",IF(G908="FLAG","Retain; test in robustness battery","Retain"))))</f>
        <v/>
      </c>
    </row>
    <row r="909">
      <c r="A909" s="55" t="n">
        <v>906</v>
      </c>
      <c r="B909" s="55">
        <f>IF('04_DATA'!A906="","",'04_DATA'!A906)</f>
        <v/>
      </c>
      <c r="C909" s="55">
        <f>IF('04_DATA'!A906="","",IF(AND('04_DATA'!G906=1,'04_DATA'!H906=1,'04_DATA'!I906&gt;=3),"eligible","EXCLUDE"))</f>
        <v/>
      </c>
      <c r="D909" s="55">
        <f>IF('04_DATA'!A906="","",37-COUNT('04_DATA'!$K906:$AU906))</f>
        <v/>
      </c>
      <c r="E909" s="63">
        <f>IF('04_DATA'!A906="","",(37-COUNT('04_DATA'!$K906:$AU906))/37)</f>
        <v/>
      </c>
      <c r="F909" s="55">
        <f>IF('04_DATA'!A906="","",IF(AND(COUNT('04_DATA'!$K906:$AU906)=37,COUNTIF('04_DATA'!$K906:$AU906,INDEX('04_DATA'!$K906:$AU906,1))=37),"EXCLUDE","ok"))</f>
        <v/>
      </c>
      <c r="G909" s="55">
        <f>IF('04_DATA'!A906="","",IF('04_DATA'!D906&lt;PERCENTILE('04_DATA'!$D$2:$D$1001,0.05),"FLAG","ok"))</f>
        <v/>
      </c>
      <c r="H909" s="55">
        <f>IF('04_DATA'!A906="","",IF(OR(C909="EXCLUDE",F909="EXCLUDE"),"Exclude under pre-specified rule",IF(E909&gt;0.15,"Exclude: &gt;15% missing",IF(G909="FLAG","Retain; test in robustness battery","Retain"))))</f>
        <v/>
      </c>
    </row>
    <row r="910">
      <c r="A910" s="55" t="n">
        <v>907</v>
      </c>
      <c r="B910" s="55">
        <f>IF('04_DATA'!A907="","",'04_DATA'!A907)</f>
        <v/>
      </c>
      <c r="C910" s="55">
        <f>IF('04_DATA'!A907="","",IF(AND('04_DATA'!G907=1,'04_DATA'!H907=1,'04_DATA'!I907&gt;=3),"eligible","EXCLUDE"))</f>
        <v/>
      </c>
      <c r="D910" s="55">
        <f>IF('04_DATA'!A907="","",37-COUNT('04_DATA'!$K907:$AU907))</f>
        <v/>
      </c>
      <c r="E910" s="63">
        <f>IF('04_DATA'!A907="","",(37-COUNT('04_DATA'!$K907:$AU907))/37)</f>
        <v/>
      </c>
      <c r="F910" s="55">
        <f>IF('04_DATA'!A907="","",IF(AND(COUNT('04_DATA'!$K907:$AU907)=37,COUNTIF('04_DATA'!$K907:$AU907,INDEX('04_DATA'!$K907:$AU907,1))=37),"EXCLUDE","ok"))</f>
        <v/>
      </c>
      <c r="G910" s="55">
        <f>IF('04_DATA'!A907="","",IF('04_DATA'!D907&lt;PERCENTILE('04_DATA'!$D$2:$D$1001,0.05),"FLAG","ok"))</f>
        <v/>
      </c>
      <c r="H910" s="55">
        <f>IF('04_DATA'!A907="","",IF(OR(C910="EXCLUDE",F910="EXCLUDE"),"Exclude under pre-specified rule",IF(E910&gt;0.15,"Exclude: &gt;15% missing",IF(G910="FLAG","Retain; test in robustness battery","Retain"))))</f>
        <v/>
      </c>
    </row>
    <row r="911">
      <c r="A911" s="55" t="n">
        <v>908</v>
      </c>
      <c r="B911" s="55">
        <f>IF('04_DATA'!A908="","",'04_DATA'!A908)</f>
        <v/>
      </c>
      <c r="C911" s="55">
        <f>IF('04_DATA'!A908="","",IF(AND('04_DATA'!G908=1,'04_DATA'!H908=1,'04_DATA'!I908&gt;=3),"eligible","EXCLUDE"))</f>
        <v/>
      </c>
      <c r="D911" s="55">
        <f>IF('04_DATA'!A908="","",37-COUNT('04_DATA'!$K908:$AU908))</f>
        <v/>
      </c>
      <c r="E911" s="63">
        <f>IF('04_DATA'!A908="","",(37-COUNT('04_DATA'!$K908:$AU908))/37)</f>
        <v/>
      </c>
      <c r="F911" s="55">
        <f>IF('04_DATA'!A908="","",IF(AND(COUNT('04_DATA'!$K908:$AU908)=37,COUNTIF('04_DATA'!$K908:$AU908,INDEX('04_DATA'!$K908:$AU908,1))=37),"EXCLUDE","ok"))</f>
        <v/>
      </c>
      <c r="G911" s="55">
        <f>IF('04_DATA'!A908="","",IF('04_DATA'!D908&lt;PERCENTILE('04_DATA'!$D$2:$D$1001,0.05),"FLAG","ok"))</f>
        <v/>
      </c>
      <c r="H911" s="55">
        <f>IF('04_DATA'!A908="","",IF(OR(C911="EXCLUDE",F911="EXCLUDE"),"Exclude under pre-specified rule",IF(E911&gt;0.15,"Exclude: &gt;15% missing",IF(G911="FLAG","Retain; test in robustness battery","Retain"))))</f>
        <v/>
      </c>
    </row>
    <row r="912">
      <c r="A912" s="55" t="n">
        <v>909</v>
      </c>
      <c r="B912" s="55">
        <f>IF('04_DATA'!A909="","",'04_DATA'!A909)</f>
        <v/>
      </c>
      <c r="C912" s="55">
        <f>IF('04_DATA'!A909="","",IF(AND('04_DATA'!G909=1,'04_DATA'!H909=1,'04_DATA'!I909&gt;=3),"eligible","EXCLUDE"))</f>
        <v/>
      </c>
      <c r="D912" s="55">
        <f>IF('04_DATA'!A909="","",37-COUNT('04_DATA'!$K909:$AU909))</f>
        <v/>
      </c>
      <c r="E912" s="63">
        <f>IF('04_DATA'!A909="","",(37-COUNT('04_DATA'!$K909:$AU909))/37)</f>
        <v/>
      </c>
      <c r="F912" s="55">
        <f>IF('04_DATA'!A909="","",IF(AND(COUNT('04_DATA'!$K909:$AU909)=37,COUNTIF('04_DATA'!$K909:$AU909,INDEX('04_DATA'!$K909:$AU909,1))=37),"EXCLUDE","ok"))</f>
        <v/>
      </c>
      <c r="G912" s="55">
        <f>IF('04_DATA'!A909="","",IF('04_DATA'!D909&lt;PERCENTILE('04_DATA'!$D$2:$D$1001,0.05),"FLAG","ok"))</f>
        <v/>
      </c>
      <c r="H912" s="55">
        <f>IF('04_DATA'!A909="","",IF(OR(C912="EXCLUDE",F912="EXCLUDE"),"Exclude under pre-specified rule",IF(E912&gt;0.15,"Exclude: &gt;15% missing",IF(G912="FLAG","Retain; test in robustness battery","Retain"))))</f>
        <v/>
      </c>
    </row>
    <row r="913">
      <c r="A913" s="55" t="n">
        <v>910</v>
      </c>
      <c r="B913" s="55">
        <f>IF('04_DATA'!A910="","",'04_DATA'!A910)</f>
        <v/>
      </c>
      <c r="C913" s="55">
        <f>IF('04_DATA'!A910="","",IF(AND('04_DATA'!G910=1,'04_DATA'!H910=1,'04_DATA'!I910&gt;=3),"eligible","EXCLUDE"))</f>
        <v/>
      </c>
      <c r="D913" s="55">
        <f>IF('04_DATA'!A910="","",37-COUNT('04_DATA'!$K910:$AU910))</f>
        <v/>
      </c>
      <c r="E913" s="63">
        <f>IF('04_DATA'!A910="","",(37-COUNT('04_DATA'!$K910:$AU910))/37)</f>
        <v/>
      </c>
      <c r="F913" s="55">
        <f>IF('04_DATA'!A910="","",IF(AND(COUNT('04_DATA'!$K910:$AU910)=37,COUNTIF('04_DATA'!$K910:$AU910,INDEX('04_DATA'!$K910:$AU910,1))=37),"EXCLUDE","ok"))</f>
        <v/>
      </c>
      <c r="G913" s="55">
        <f>IF('04_DATA'!A910="","",IF('04_DATA'!D910&lt;PERCENTILE('04_DATA'!$D$2:$D$1001,0.05),"FLAG","ok"))</f>
        <v/>
      </c>
      <c r="H913" s="55">
        <f>IF('04_DATA'!A910="","",IF(OR(C913="EXCLUDE",F913="EXCLUDE"),"Exclude under pre-specified rule",IF(E913&gt;0.15,"Exclude: &gt;15% missing",IF(G913="FLAG","Retain; test in robustness battery","Retain"))))</f>
        <v/>
      </c>
    </row>
    <row r="914">
      <c r="A914" s="55" t="n">
        <v>911</v>
      </c>
      <c r="B914" s="55">
        <f>IF('04_DATA'!A911="","",'04_DATA'!A911)</f>
        <v/>
      </c>
      <c r="C914" s="55">
        <f>IF('04_DATA'!A911="","",IF(AND('04_DATA'!G911=1,'04_DATA'!H911=1,'04_DATA'!I911&gt;=3),"eligible","EXCLUDE"))</f>
        <v/>
      </c>
      <c r="D914" s="55">
        <f>IF('04_DATA'!A911="","",37-COUNT('04_DATA'!$K911:$AU911))</f>
        <v/>
      </c>
      <c r="E914" s="63">
        <f>IF('04_DATA'!A911="","",(37-COUNT('04_DATA'!$K911:$AU911))/37)</f>
        <v/>
      </c>
      <c r="F914" s="55">
        <f>IF('04_DATA'!A911="","",IF(AND(COUNT('04_DATA'!$K911:$AU911)=37,COUNTIF('04_DATA'!$K911:$AU911,INDEX('04_DATA'!$K911:$AU911,1))=37),"EXCLUDE","ok"))</f>
        <v/>
      </c>
      <c r="G914" s="55">
        <f>IF('04_DATA'!A911="","",IF('04_DATA'!D911&lt;PERCENTILE('04_DATA'!$D$2:$D$1001,0.05),"FLAG","ok"))</f>
        <v/>
      </c>
      <c r="H914" s="55">
        <f>IF('04_DATA'!A911="","",IF(OR(C914="EXCLUDE",F914="EXCLUDE"),"Exclude under pre-specified rule",IF(E914&gt;0.15,"Exclude: &gt;15% missing",IF(G914="FLAG","Retain; test in robustness battery","Retain"))))</f>
        <v/>
      </c>
    </row>
    <row r="915">
      <c r="A915" s="55" t="n">
        <v>912</v>
      </c>
      <c r="B915" s="55">
        <f>IF('04_DATA'!A912="","",'04_DATA'!A912)</f>
        <v/>
      </c>
      <c r="C915" s="55">
        <f>IF('04_DATA'!A912="","",IF(AND('04_DATA'!G912=1,'04_DATA'!H912=1,'04_DATA'!I912&gt;=3),"eligible","EXCLUDE"))</f>
        <v/>
      </c>
      <c r="D915" s="55">
        <f>IF('04_DATA'!A912="","",37-COUNT('04_DATA'!$K912:$AU912))</f>
        <v/>
      </c>
      <c r="E915" s="63">
        <f>IF('04_DATA'!A912="","",(37-COUNT('04_DATA'!$K912:$AU912))/37)</f>
        <v/>
      </c>
      <c r="F915" s="55">
        <f>IF('04_DATA'!A912="","",IF(AND(COUNT('04_DATA'!$K912:$AU912)=37,COUNTIF('04_DATA'!$K912:$AU912,INDEX('04_DATA'!$K912:$AU912,1))=37),"EXCLUDE","ok"))</f>
        <v/>
      </c>
      <c r="G915" s="55">
        <f>IF('04_DATA'!A912="","",IF('04_DATA'!D912&lt;PERCENTILE('04_DATA'!$D$2:$D$1001,0.05),"FLAG","ok"))</f>
        <v/>
      </c>
      <c r="H915" s="55">
        <f>IF('04_DATA'!A912="","",IF(OR(C915="EXCLUDE",F915="EXCLUDE"),"Exclude under pre-specified rule",IF(E915&gt;0.15,"Exclude: &gt;15% missing",IF(G915="FLAG","Retain; test in robustness battery","Retain"))))</f>
        <v/>
      </c>
    </row>
    <row r="916">
      <c r="A916" s="55" t="n">
        <v>913</v>
      </c>
      <c r="B916" s="55">
        <f>IF('04_DATA'!A913="","",'04_DATA'!A913)</f>
        <v/>
      </c>
      <c r="C916" s="55">
        <f>IF('04_DATA'!A913="","",IF(AND('04_DATA'!G913=1,'04_DATA'!H913=1,'04_DATA'!I913&gt;=3),"eligible","EXCLUDE"))</f>
        <v/>
      </c>
      <c r="D916" s="55">
        <f>IF('04_DATA'!A913="","",37-COUNT('04_DATA'!$K913:$AU913))</f>
        <v/>
      </c>
      <c r="E916" s="63">
        <f>IF('04_DATA'!A913="","",(37-COUNT('04_DATA'!$K913:$AU913))/37)</f>
        <v/>
      </c>
      <c r="F916" s="55">
        <f>IF('04_DATA'!A913="","",IF(AND(COUNT('04_DATA'!$K913:$AU913)=37,COUNTIF('04_DATA'!$K913:$AU913,INDEX('04_DATA'!$K913:$AU913,1))=37),"EXCLUDE","ok"))</f>
        <v/>
      </c>
      <c r="G916" s="55">
        <f>IF('04_DATA'!A913="","",IF('04_DATA'!D913&lt;PERCENTILE('04_DATA'!$D$2:$D$1001,0.05),"FLAG","ok"))</f>
        <v/>
      </c>
      <c r="H916" s="55">
        <f>IF('04_DATA'!A913="","",IF(OR(C916="EXCLUDE",F916="EXCLUDE"),"Exclude under pre-specified rule",IF(E916&gt;0.15,"Exclude: &gt;15% missing",IF(G916="FLAG","Retain; test in robustness battery","Retain"))))</f>
        <v/>
      </c>
    </row>
    <row r="917">
      <c r="A917" s="55" t="n">
        <v>914</v>
      </c>
      <c r="B917" s="55">
        <f>IF('04_DATA'!A914="","",'04_DATA'!A914)</f>
        <v/>
      </c>
      <c r="C917" s="55">
        <f>IF('04_DATA'!A914="","",IF(AND('04_DATA'!G914=1,'04_DATA'!H914=1,'04_DATA'!I914&gt;=3),"eligible","EXCLUDE"))</f>
        <v/>
      </c>
      <c r="D917" s="55">
        <f>IF('04_DATA'!A914="","",37-COUNT('04_DATA'!$K914:$AU914))</f>
        <v/>
      </c>
      <c r="E917" s="63">
        <f>IF('04_DATA'!A914="","",(37-COUNT('04_DATA'!$K914:$AU914))/37)</f>
        <v/>
      </c>
      <c r="F917" s="55">
        <f>IF('04_DATA'!A914="","",IF(AND(COUNT('04_DATA'!$K914:$AU914)=37,COUNTIF('04_DATA'!$K914:$AU914,INDEX('04_DATA'!$K914:$AU914,1))=37),"EXCLUDE","ok"))</f>
        <v/>
      </c>
      <c r="G917" s="55">
        <f>IF('04_DATA'!A914="","",IF('04_DATA'!D914&lt;PERCENTILE('04_DATA'!$D$2:$D$1001,0.05),"FLAG","ok"))</f>
        <v/>
      </c>
      <c r="H917" s="55">
        <f>IF('04_DATA'!A914="","",IF(OR(C917="EXCLUDE",F917="EXCLUDE"),"Exclude under pre-specified rule",IF(E917&gt;0.15,"Exclude: &gt;15% missing",IF(G917="FLAG","Retain; test in robustness battery","Retain"))))</f>
        <v/>
      </c>
    </row>
    <row r="918">
      <c r="A918" s="55" t="n">
        <v>915</v>
      </c>
      <c r="B918" s="55">
        <f>IF('04_DATA'!A915="","",'04_DATA'!A915)</f>
        <v/>
      </c>
      <c r="C918" s="55">
        <f>IF('04_DATA'!A915="","",IF(AND('04_DATA'!G915=1,'04_DATA'!H915=1,'04_DATA'!I915&gt;=3),"eligible","EXCLUDE"))</f>
        <v/>
      </c>
      <c r="D918" s="55">
        <f>IF('04_DATA'!A915="","",37-COUNT('04_DATA'!$K915:$AU915))</f>
        <v/>
      </c>
      <c r="E918" s="63">
        <f>IF('04_DATA'!A915="","",(37-COUNT('04_DATA'!$K915:$AU915))/37)</f>
        <v/>
      </c>
      <c r="F918" s="55">
        <f>IF('04_DATA'!A915="","",IF(AND(COUNT('04_DATA'!$K915:$AU915)=37,COUNTIF('04_DATA'!$K915:$AU915,INDEX('04_DATA'!$K915:$AU915,1))=37),"EXCLUDE","ok"))</f>
        <v/>
      </c>
      <c r="G918" s="55">
        <f>IF('04_DATA'!A915="","",IF('04_DATA'!D915&lt;PERCENTILE('04_DATA'!$D$2:$D$1001,0.05),"FLAG","ok"))</f>
        <v/>
      </c>
      <c r="H918" s="55">
        <f>IF('04_DATA'!A915="","",IF(OR(C918="EXCLUDE",F918="EXCLUDE"),"Exclude under pre-specified rule",IF(E918&gt;0.15,"Exclude: &gt;15% missing",IF(G918="FLAG","Retain; test in robustness battery","Retain"))))</f>
        <v/>
      </c>
    </row>
    <row r="919">
      <c r="A919" s="55" t="n">
        <v>916</v>
      </c>
      <c r="B919" s="55">
        <f>IF('04_DATA'!A916="","",'04_DATA'!A916)</f>
        <v/>
      </c>
      <c r="C919" s="55">
        <f>IF('04_DATA'!A916="","",IF(AND('04_DATA'!G916=1,'04_DATA'!H916=1,'04_DATA'!I916&gt;=3),"eligible","EXCLUDE"))</f>
        <v/>
      </c>
      <c r="D919" s="55">
        <f>IF('04_DATA'!A916="","",37-COUNT('04_DATA'!$K916:$AU916))</f>
        <v/>
      </c>
      <c r="E919" s="63">
        <f>IF('04_DATA'!A916="","",(37-COUNT('04_DATA'!$K916:$AU916))/37)</f>
        <v/>
      </c>
      <c r="F919" s="55">
        <f>IF('04_DATA'!A916="","",IF(AND(COUNT('04_DATA'!$K916:$AU916)=37,COUNTIF('04_DATA'!$K916:$AU916,INDEX('04_DATA'!$K916:$AU916,1))=37),"EXCLUDE","ok"))</f>
        <v/>
      </c>
      <c r="G919" s="55">
        <f>IF('04_DATA'!A916="","",IF('04_DATA'!D916&lt;PERCENTILE('04_DATA'!$D$2:$D$1001,0.05),"FLAG","ok"))</f>
        <v/>
      </c>
      <c r="H919" s="55">
        <f>IF('04_DATA'!A916="","",IF(OR(C919="EXCLUDE",F919="EXCLUDE"),"Exclude under pre-specified rule",IF(E919&gt;0.15,"Exclude: &gt;15% missing",IF(G919="FLAG","Retain; test in robustness battery","Retain"))))</f>
        <v/>
      </c>
    </row>
    <row r="920">
      <c r="A920" s="55" t="n">
        <v>917</v>
      </c>
      <c r="B920" s="55">
        <f>IF('04_DATA'!A917="","",'04_DATA'!A917)</f>
        <v/>
      </c>
      <c r="C920" s="55">
        <f>IF('04_DATA'!A917="","",IF(AND('04_DATA'!G917=1,'04_DATA'!H917=1,'04_DATA'!I917&gt;=3),"eligible","EXCLUDE"))</f>
        <v/>
      </c>
      <c r="D920" s="55">
        <f>IF('04_DATA'!A917="","",37-COUNT('04_DATA'!$K917:$AU917))</f>
        <v/>
      </c>
      <c r="E920" s="63">
        <f>IF('04_DATA'!A917="","",(37-COUNT('04_DATA'!$K917:$AU917))/37)</f>
        <v/>
      </c>
      <c r="F920" s="55">
        <f>IF('04_DATA'!A917="","",IF(AND(COUNT('04_DATA'!$K917:$AU917)=37,COUNTIF('04_DATA'!$K917:$AU917,INDEX('04_DATA'!$K917:$AU917,1))=37),"EXCLUDE","ok"))</f>
        <v/>
      </c>
      <c r="G920" s="55">
        <f>IF('04_DATA'!A917="","",IF('04_DATA'!D917&lt;PERCENTILE('04_DATA'!$D$2:$D$1001,0.05),"FLAG","ok"))</f>
        <v/>
      </c>
      <c r="H920" s="55">
        <f>IF('04_DATA'!A917="","",IF(OR(C920="EXCLUDE",F920="EXCLUDE"),"Exclude under pre-specified rule",IF(E920&gt;0.15,"Exclude: &gt;15% missing",IF(G920="FLAG","Retain; test in robustness battery","Retain"))))</f>
        <v/>
      </c>
    </row>
    <row r="921">
      <c r="A921" s="55" t="n">
        <v>918</v>
      </c>
      <c r="B921" s="55">
        <f>IF('04_DATA'!A918="","",'04_DATA'!A918)</f>
        <v/>
      </c>
      <c r="C921" s="55">
        <f>IF('04_DATA'!A918="","",IF(AND('04_DATA'!G918=1,'04_DATA'!H918=1,'04_DATA'!I918&gt;=3),"eligible","EXCLUDE"))</f>
        <v/>
      </c>
      <c r="D921" s="55">
        <f>IF('04_DATA'!A918="","",37-COUNT('04_DATA'!$K918:$AU918))</f>
        <v/>
      </c>
      <c r="E921" s="63">
        <f>IF('04_DATA'!A918="","",(37-COUNT('04_DATA'!$K918:$AU918))/37)</f>
        <v/>
      </c>
      <c r="F921" s="55">
        <f>IF('04_DATA'!A918="","",IF(AND(COUNT('04_DATA'!$K918:$AU918)=37,COUNTIF('04_DATA'!$K918:$AU918,INDEX('04_DATA'!$K918:$AU918,1))=37),"EXCLUDE","ok"))</f>
        <v/>
      </c>
      <c r="G921" s="55">
        <f>IF('04_DATA'!A918="","",IF('04_DATA'!D918&lt;PERCENTILE('04_DATA'!$D$2:$D$1001,0.05),"FLAG","ok"))</f>
        <v/>
      </c>
      <c r="H921" s="55">
        <f>IF('04_DATA'!A918="","",IF(OR(C921="EXCLUDE",F921="EXCLUDE"),"Exclude under pre-specified rule",IF(E921&gt;0.15,"Exclude: &gt;15% missing",IF(G921="FLAG","Retain; test in robustness battery","Retain"))))</f>
        <v/>
      </c>
    </row>
    <row r="922">
      <c r="A922" s="55" t="n">
        <v>919</v>
      </c>
      <c r="B922" s="55">
        <f>IF('04_DATA'!A919="","",'04_DATA'!A919)</f>
        <v/>
      </c>
      <c r="C922" s="55">
        <f>IF('04_DATA'!A919="","",IF(AND('04_DATA'!G919=1,'04_DATA'!H919=1,'04_DATA'!I919&gt;=3),"eligible","EXCLUDE"))</f>
        <v/>
      </c>
      <c r="D922" s="55">
        <f>IF('04_DATA'!A919="","",37-COUNT('04_DATA'!$K919:$AU919))</f>
        <v/>
      </c>
      <c r="E922" s="63">
        <f>IF('04_DATA'!A919="","",(37-COUNT('04_DATA'!$K919:$AU919))/37)</f>
        <v/>
      </c>
      <c r="F922" s="55">
        <f>IF('04_DATA'!A919="","",IF(AND(COUNT('04_DATA'!$K919:$AU919)=37,COUNTIF('04_DATA'!$K919:$AU919,INDEX('04_DATA'!$K919:$AU919,1))=37),"EXCLUDE","ok"))</f>
        <v/>
      </c>
      <c r="G922" s="55">
        <f>IF('04_DATA'!A919="","",IF('04_DATA'!D919&lt;PERCENTILE('04_DATA'!$D$2:$D$1001,0.05),"FLAG","ok"))</f>
        <v/>
      </c>
      <c r="H922" s="55">
        <f>IF('04_DATA'!A919="","",IF(OR(C922="EXCLUDE",F922="EXCLUDE"),"Exclude under pre-specified rule",IF(E922&gt;0.15,"Exclude: &gt;15% missing",IF(G922="FLAG","Retain; test in robustness battery","Retain"))))</f>
        <v/>
      </c>
    </row>
    <row r="923">
      <c r="A923" s="55" t="n">
        <v>920</v>
      </c>
      <c r="B923" s="55">
        <f>IF('04_DATA'!A920="","",'04_DATA'!A920)</f>
        <v/>
      </c>
      <c r="C923" s="55">
        <f>IF('04_DATA'!A920="","",IF(AND('04_DATA'!G920=1,'04_DATA'!H920=1,'04_DATA'!I920&gt;=3),"eligible","EXCLUDE"))</f>
        <v/>
      </c>
      <c r="D923" s="55">
        <f>IF('04_DATA'!A920="","",37-COUNT('04_DATA'!$K920:$AU920))</f>
        <v/>
      </c>
      <c r="E923" s="63">
        <f>IF('04_DATA'!A920="","",(37-COUNT('04_DATA'!$K920:$AU920))/37)</f>
        <v/>
      </c>
      <c r="F923" s="55">
        <f>IF('04_DATA'!A920="","",IF(AND(COUNT('04_DATA'!$K920:$AU920)=37,COUNTIF('04_DATA'!$K920:$AU920,INDEX('04_DATA'!$K920:$AU920,1))=37),"EXCLUDE","ok"))</f>
        <v/>
      </c>
      <c r="G923" s="55">
        <f>IF('04_DATA'!A920="","",IF('04_DATA'!D920&lt;PERCENTILE('04_DATA'!$D$2:$D$1001,0.05),"FLAG","ok"))</f>
        <v/>
      </c>
      <c r="H923" s="55">
        <f>IF('04_DATA'!A920="","",IF(OR(C923="EXCLUDE",F923="EXCLUDE"),"Exclude under pre-specified rule",IF(E923&gt;0.15,"Exclude: &gt;15% missing",IF(G923="FLAG","Retain; test in robustness battery","Retain"))))</f>
        <v/>
      </c>
    </row>
    <row r="924">
      <c r="A924" s="55" t="n">
        <v>921</v>
      </c>
      <c r="B924" s="55">
        <f>IF('04_DATA'!A921="","",'04_DATA'!A921)</f>
        <v/>
      </c>
      <c r="C924" s="55">
        <f>IF('04_DATA'!A921="","",IF(AND('04_DATA'!G921=1,'04_DATA'!H921=1,'04_DATA'!I921&gt;=3),"eligible","EXCLUDE"))</f>
        <v/>
      </c>
      <c r="D924" s="55">
        <f>IF('04_DATA'!A921="","",37-COUNT('04_DATA'!$K921:$AU921))</f>
        <v/>
      </c>
      <c r="E924" s="63">
        <f>IF('04_DATA'!A921="","",(37-COUNT('04_DATA'!$K921:$AU921))/37)</f>
        <v/>
      </c>
      <c r="F924" s="55">
        <f>IF('04_DATA'!A921="","",IF(AND(COUNT('04_DATA'!$K921:$AU921)=37,COUNTIF('04_DATA'!$K921:$AU921,INDEX('04_DATA'!$K921:$AU921,1))=37),"EXCLUDE","ok"))</f>
        <v/>
      </c>
      <c r="G924" s="55">
        <f>IF('04_DATA'!A921="","",IF('04_DATA'!D921&lt;PERCENTILE('04_DATA'!$D$2:$D$1001,0.05),"FLAG","ok"))</f>
        <v/>
      </c>
      <c r="H924" s="55">
        <f>IF('04_DATA'!A921="","",IF(OR(C924="EXCLUDE",F924="EXCLUDE"),"Exclude under pre-specified rule",IF(E924&gt;0.15,"Exclude: &gt;15% missing",IF(G924="FLAG","Retain; test in robustness battery","Retain"))))</f>
        <v/>
      </c>
    </row>
    <row r="925">
      <c r="A925" s="55" t="n">
        <v>922</v>
      </c>
      <c r="B925" s="55">
        <f>IF('04_DATA'!A922="","",'04_DATA'!A922)</f>
        <v/>
      </c>
      <c r="C925" s="55">
        <f>IF('04_DATA'!A922="","",IF(AND('04_DATA'!G922=1,'04_DATA'!H922=1,'04_DATA'!I922&gt;=3),"eligible","EXCLUDE"))</f>
        <v/>
      </c>
      <c r="D925" s="55">
        <f>IF('04_DATA'!A922="","",37-COUNT('04_DATA'!$K922:$AU922))</f>
        <v/>
      </c>
      <c r="E925" s="63">
        <f>IF('04_DATA'!A922="","",(37-COUNT('04_DATA'!$K922:$AU922))/37)</f>
        <v/>
      </c>
      <c r="F925" s="55">
        <f>IF('04_DATA'!A922="","",IF(AND(COUNT('04_DATA'!$K922:$AU922)=37,COUNTIF('04_DATA'!$K922:$AU922,INDEX('04_DATA'!$K922:$AU922,1))=37),"EXCLUDE","ok"))</f>
        <v/>
      </c>
      <c r="G925" s="55">
        <f>IF('04_DATA'!A922="","",IF('04_DATA'!D922&lt;PERCENTILE('04_DATA'!$D$2:$D$1001,0.05),"FLAG","ok"))</f>
        <v/>
      </c>
      <c r="H925" s="55">
        <f>IF('04_DATA'!A922="","",IF(OR(C925="EXCLUDE",F925="EXCLUDE"),"Exclude under pre-specified rule",IF(E925&gt;0.15,"Exclude: &gt;15% missing",IF(G925="FLAG","Retain; test in robustness battery","Retain"))))</f>
        <v/>
      </c>
    </row>
    <row r="926">
      <c r="A926" s="55" t="n">
        <v>923</v>
      </c>
      <c r="B926" s="55">
        <f>IF('04_DATA'!A923="","",'04_DATA'!A923)</f>
        <v/>
      </c>
      <c r="C926" s="55">
        <f>IF('04_DATA'!A923="","",IF(AND('04_DATA'!G923=1,'04_DATA'!H923=1,'04_DATA'!I923&gt;=3),"eligible","EXCLUDE"))</f>
        <v/>
      </c>
      <c r="D926" s="55">
        <f>IF('04_DATA'!A923="","",37-COUNT('04_DATA'!$K923:$AU923))</f>
        <v/>
      </c>
      <c r="E926" s="63">
        <f>IF('04_DATA'!A923="","",(37-COUNT('04_DATA'!$K923:$AU923))/37)</f>
        <v/>
      </c>
      <c r="F926" s="55">
        <f>IF('04_DATA'!A923="","",IF(AND(COUNT('04_DATA'!$K923:$AU923)=37,COUNTIF('04_DATA'!$K923:$AU923,INDEX('04_DATA'!$K923:$AU923,1))=37),"EXCLUDE","ok"))</f>
        <v/>
      </c>
      <c r="G926" s="55">
        <f>IF('04_DATA'!A923="","",IF('04_DATA'!D923&lt;PERCENTILE('04_DATA'!$D$2:$D$1001,0.05),"FLAG","ok"))</f>
        <v/>
      </c>
      <c r="H926" s="55">
        <f>IF('04_DATA'!A923="","",IF(OR(C926="EXCLUDE",F926="EXCLUDE"),"Exclude under pre-specified rule",IF(E926&gt;0.15,"Exclude: &gt;15% missing",IF(G926="FLAG","Retain; test in robustness battery","Retain"))))</f>
        <v/>
      </c>
    </row>
    <row r="927">
      <c r="A927" s="55" t="n">
        <v>924</v>
      </c>
      <c r="B927" s="55">
        <f>IF('04_DATA'!A924="","",'04_DATA'!A924)</f>
        <v/>
      </c>
      <c r="C927" s="55">
        <f>IF('04_DATA'!A924="","",IF(AND('04_DATA'!G924=1,'04_DATA'!H924=1,'04_DATA'!I924&gt;=3),"eligible","EXCLUDE"))</f>
        <v/>
      </c>
      <c r="D927" s="55">
        <f>IF('04_DATA'!A924="","",37-COUNT('04_DATA'!$K924:$AU924))</f>
        <v/>
      </c>
      <c r="E927" s="63">
        <f>IF('04_DATA'!A924="","",(37-COUNT('04_DATA'!$K924:$AU924))/37)</f>
        <v/>
      </c>
      <c r="F927" s="55">
        <f>IF('04_DATA'!A924="","",IF(AND(COUNT('04_DATA'!$K924:$AU924)=37,COUNTIF('04_DATA'!$K924:$AU924,INDEX('04_DATA'!$K924:$AU924,1))=37),"EXCLUDE","ok"))</f>
        <v/>
      </c>
      <c r="G927" s="55">
        <f>IF('04_DATA'!A924="","",IF('04_DATA'!D924&lt;PERCENTILE('04_DATA'!$D$2:$D$1001,0.05),"FLAG","ok"))</f>
        <v/>
      </c>
      <c r="H927" s="55">
        <f>IF('04_DATA'!A924="","",IF(OR(C927="EXCLUDE",F927="EXCLUDE"),"Exclude under pre-specified rule",IF(E927&gt;0.15,"Exclude: &gt;15% missing",IF(G927="FLAG","Retain; test in robustness battery","Retain"))))</f>
        <v/>
      </c>
    </row>
    <row r="928">
      <c r="A928" s="55" t="n">
        <v>925</v>
      </c>
      <c r="B928" s="55">
        <f>IF('04_DATA'!A925="","",'04_DATA'!A925)</f>
        <v/>
      </c>
      <c r="C928" s="55">
        <f>IF('04_DATA'!A925="","",IF(AND('04_DATA'!G925=1,'04_DATA'!H925=1,'04_DATA'!I925&gt;=3),"eligible","EXCLUDE"))</f>
        <v/>
      </c>
      <c r="D928" s="55">
        <f>IF('04_DATA'!A925="","",37-COUNT('04_DATA'!$K925:$AU925))</f>
        <v/>
      </c>
      <c r="E928" s="63">
        <f>IF('04_DATA'!A925="","",(37-COUNT('04_DATA'!$K925:$AU925))/37)</f>
        <v/>
      </c>
      <c r="F928" s="55">
        <f>IF('04_DATA'!A925="","",IF(AND(COUNT('04_DATA'!$K925:$AU925)=37,COUNTIF('04_DATA'!$K925:$AU925,INDEX('04_DATA'!$K925:$AU925,1))=37),"EXCLUDE","ok"))</f>
        <v/>
      </c>
      <c r="G928" s="55">
        <f>IF('04_DATA'!A925="","",IF('04_DATA'!D925&lt;PERCENTILE('04_DATA'!$D$2:$D$1001,0.05),"FLAG","ok"))</f>
        <v/>
      </c>
      <c r="H928" s="55">
        <f>IF('04_DATA'!A925="","",IF(OR(C928="EXCLUDE",F928="EXCLUDE"),"Exclude under pre-specified rule",IF(E928&gt;0.15,"Exclude: &gt;15% missing",IF(G928="FLAG","Retain; test in robustness battery","Retain"))))</f>
        <v/>
      </c>
    </row>
    <row r="929">
      <c r="A929" s="55" t="n">
        <v>926</v>
      </c>
      <c r="B929" s="55">
        <f>IF('04_DATA'!A926="","",'04_DATA'!A926)</f>
        <v/>
      </c>
      <c r="C929" s="55">
        <f>IF('04_DATA'!A926="","",IF(AND('04_DATA'!G926=1,'04_DATA'!H926=1,'04_DATA'!I926&gt;=3),"eligible","EXCLUDE"))</f>
        <v/>
      </c>
      <c r="D929" s="55">
        <f>IF('04_DATA'!A926="","",37-COUNT('04_DATA'!$K926:$AU926))</f>
        <v/>
      </c>
      <c r="E929" s="63">
        <f>IF('04_DATA'!A926="","",(37-COUNT('04_DATA'!$K926:$AU926))/37)</f>
        <v/>
      </c>
      <c r="F929" s="55">
        <f>IF('04_DATA'!A926="","",IF(AND(COUNT('04_DATA'!$K926:$AU926)=37,COUNTIF('04_DATA'!$K926:$AU926,INDEX('04_DATA'!$K926:$AU926,1))=37),"EXCLUDE","ok"))</f>
        <v/>
      </c>
      <c r="G929" s="55">
        <f>IF('04_DATA'!A926="","",IF('04_DATA'!D926&lt;PERCENTILE('04_DATA'!$D$2:$D$1001,0.05),"FLAG","ok"))</f>
        <v/>
      </c>
      <c r="H929" s="55">
        <f>IF('04_DATA'!A926="","",IF(OR(C929="EXCLUDE",F929="EXCLUDE"),"Exclude under pre-specified rule",IF(E929&gt;0.15,"Exclude: &gt;15% missing",IF(G929="FLAG","Retain; test in robustness battery","Retain"))))</f>
        <v/>
      </c>
    </row>
    <row r="930">
      <c r="A930" s="55" t="n">
        <v>927</v>
      </c>
      <c r="B930" s="55">
        <f>IF('04_DATA'!A927="","",'04_DATA'!A927)</f>
        <v/>
      </c>
      <c r="C930" s="55">
        <f>IF('04_DATA'!A927="","",IF(AND('04_DATA'!G927=1,'04_DATA'!H927=1,'04_DATA'!I927&gt;=3),"eligible","EXCLUDE"))</f>
        <v/>
      </c>
      <c r="D930" s="55">
        <f>IF('04_DATA'!A927="","",37-COUNT('04_DATA'!$K927:$AU927))</f>
        <v/>
      </c>
      <c r="E930" s="63">
        <f>IF('04_DATA'!A927="","",(37-COUNT('04_DATA'!$K927:$AU927))/37)</f>
        <v/>
      </c>
      <c r="F930" s="55">
        <f>IF('04_DATA'!A927="","",IF(AND(COUNT('04_DATA'!$K927:$AU927)=37,COUNTIF('04_DATA'!$K927:$AU927,INDEX('04_DATA'!$K927:$AU927,1))=37),"EXCLUDE","ok"))</f>
        <v/>
      </c>
      <c r="G930" s="55">
        <f>IF('04_DATA'!A927="","",IF('04_DATA'!D927&lt;PERCENTILE('04_DATA'!$D$2:$D$1001,0.05),"FLAG","ok"))</f>
        <v/>
      </c>
      <c r="H930" s="55">
        <f>IF('04_DATA'!A927="","",IF(OR(C930="EXCLUDE",F930="EXCLUDE"),"Exclude under pre-specified rule",IF(E930&gt;0.15,"Exclude: &gt;15% missing",IF(G930="FLAG","Retain; test in robustness battery","Retain"))))</f>
        <v/>
      </c>
    </row>
    <row r="931">
      <c r="A931" s="55" t="n">
        <v>928</v>
      </c>
      <c r="B931" s="55">
        <f>IF('04_DATA'!A928="","",'04_DATA'!A928)</f>
        <v/>
      </c>
      <c r="C931" s="55">
        <f>IF('04_DATA'!A928="","",IF(AND('04_DATA'!G928=1,'04_DATA'!H928=1,'04_DATA'!I928&gt;=3),"eligible","EXCLUDE"))</f>
        <v/>
      </c>
      <c r="D931" s="55">
        <f>IF('04_DATA'!A928="","",37-COUNT('04_DATA'!$K928:$AU928))</f>
        <v/>
      </c>
      <c r="E931" s="63">
        <f>IF('04_DATA'!A928="","",(37-COUNT('04_DATA'!$K928:$AU928))/37)</f>
        <v/>
      </c>
      <c r="F931" s="55">
        <f>IF('04_DATA'!A928="","",IF(AND(COUNT('04_DATA'!$K928:$AU928)=37,COUNTIF('04_DATA'!$K928:$AU928,INDEX('04_DATA'!$K928:$AU928,1))=37),"EXCLUDE","ok"))</f>
        <v/>
      </c>
      <c r="G931" s="55">
        <f>IF('04_DATA'!A928="","",IF('04_DATA'!D928&lt;PERCENTILE('04_DATA'!$D$2:$D$1001,0.05),"FLAG","ok"))</f>
        <v/>
      </c>
      <c r="H931" s="55">
        <f>IF('04_DATA'!A928="","",IF(OR(C931="EXCLUDE",F931="EXCLUDE"),"Exclude under pre-specified rule",IF(E931&gt;0.15,"Exclude: &gt;15% missing",IF(G931="FLAG","Retain; test in robustness battery","Retain"))))</f>
        <v/>
      </c>
    </row>
    <row r="932">
      <c r="A932" s="55" t="n">
        <v>929</v>
      </c>
      <c r="B932" s="55">
        <f>IF('04_DATA'!A929="","",'04_DATA'!A929)</f>
        <v/>
      </c>
      <c r="C932" s="55">
        <f>IF('04_DATA'!A929="","",IF(AND('04_DATA'!G929=1,'04_DATA'!H929=1,'04_DATA'!I929&gt;=3),"eligible","EXCLUDE"))</f>
        <v/>
      </c>
      <c r="D932" s="55">
        <f>IF('04_DATA'!A929="","",37-COUNT('04_DATA'!$K929:$AU929))</f>
        <v/>
      </c>
      <c r="E932" s="63">
        <f>IF('04_DATA'!A929="","",(37-COUNT('04_DATA'!$K929:$AU929))/37)</f>
        <v/>
      </c>
      <c r="F932" s="55">
        <f>IF('04_DATA'!A929="","",IF(AND(COUNT('04_DATA'!$K929:$AU929)=37,COUNTIF('04_DATA'!$K929:$AU929,INDEX('04_DATA'!$K929:$AU929,1))=37),"EXCLUDE","ok"))</f>
        <v/>
      </c>
      <c r="G932" s="55">
        <f>IF('04_DATA'!A929="","",IF('04_DATA'!D929&lt;PERCENTILE('04_DATA'!$D$2:$D$1001,0.05),"FLAG","ok"))</f>
        <v/>
      </c>
      <c r="H932" s="55">
        <f>IF('04_DATA'!A929="","",IF(OR(C932="EXCLUDE",F932="EXCLUDE"),"Exclude under pre-specified rule",IF(E932&gt;0.15,"Exclude: &gt;15% missing",IF(G932="FLAG","Retain; test in robustness battery","Retain"))))</f>
        <v/>
      </c>
    </row>
    <row r="933">
      <c r="A933" s="55" t="n">
        <v>930</v>
      </c>
      <c r="B933" s="55">
        <f>IF('04_DATA'!A930="","",'04_DATA'!A930)</f>
        <v/>
      </c>
      <c r="C933" s="55">
        <f>IF('04_DATA'!A930="","",IF(AND('04_DATA'!G930=1,'04_DATA'!H930=1,'04_DATA'!I930&gt;=3),"eligible","EXCLUDE"))</f>
        <v/>
      </c>
      <c r="D933" s="55">
        <f>IF('04_DATA'!A930="","",37-COUNT('04_DATA'!$K930:$AU930))</f>
        <v/>
      </c>
      <c r="E933" s="63">
        <f>IF('04_DATA'!A930="","",(37-COUNT('04_DATA'!$K930:$AU930))/37)</f>
        <v/>
      </c>
      <c r="F933" s="55">
        <f>IF('04_DATA'!A930="","",IF(AND(COUNT('04_DATA'!$K930:$AU930)=37,COUNTIF('04_DATA'!$K930:$AU930,INDEX('04_DATA'!$K930:$AU930,1))=37),"EXCLUDE","ok"))</f>
        <v/>
      </c>
      <c r="G933" s="55">
        <f>IF('04_DATA'!A930="","",IF('04_DATA'!D930&lt;PERCENTILE('04_DATA'!$D$2:$D$1001,0.05),"FLAG","ok"))</f>
        <v/>
      </c>
      <c r="H933" s="55">
        <f>IF('04_DATA'!A930="","",IF(OR(C933="EXCLUDE",F933="EXCLUDE"),"Exclude under pre-specified rule",IF(E933&gt;0.15,"Exclude: &gt;15% missing",IF(G933="FLAG","Retain; test in robustness battery","Retain"))))</f>
        <v/>
      </c>
    </row>
    <row r="934">
      <c r="A934" s="55" t="n">
        <v>931</v>
      </c>
      <c r="B934" s="55">
        <f>IF('04_DATA'!A931="","",'04_DATA'!A931)</f>
        <v/>
      </c>
      <c r="C934" s="55">
        <f>IF('04_DATA'!A931="","",IF(AND('04_DATA'!G931=1,'04_DATA'!H931=1,'04_DATA'!I931&gt;=3),"eligible","EXCLUDE"))</f>
        <v/>
      </c>
      <c r="D934" s="55">
        <f>IF('04_DATA'!A931="","",37-COUNT('04_DATA'!$K931:$AU931))</f>
        <v/>
      </c>
      <c r="E934" s="63">
        <f>IF('04_DATA'!A931="","",(37-COUNT('04_DATA'!$K931:$AU931))/37)</f>
        <v/>
      </c>
      <c r="F934" s="55">
        <f>IF('04_DATA'!A931="","",IF(AND(COUNT('04_DATA'!$K931:$AU931)=37,COUNTIF('04_DATA'!$K931:$AU931,INDEX('04_DATA'!$K931:$AU931,1))=37),"EXCLUDE","ok"))</f>
        <v/>
      </c>
      <c r="G934" s="55">
        <f>IF('04_DATA'!A931="","",IF('04_DATA'!D931&lt;PERCENTILE('04_DATA'!$D$2:$D$1001,0.05),"FLAG","ok"))</f>
        <v/>
      </c>
      <c r="H934" s="55">
        <f>IF('04_DATA'!A931="","",IF(OR(C934="EXCLUDE",F934="EXCLUDE"),"Exclude under pre-specified rule",IF(E934&gt;0.15,"Exclude: &gt;15% missing",IF(G934="FLAG","Retain; test in robustness battery","Retain"))))</f>
        <v/>
      </c>
    </row>
    <row r="935">
      <c r="A935" s="55" t="n">
        <v>932</v>
      </c>
      <c r="B935" s="55">
        <f>IF('04_DATA'!A932="","",'04_DATA'!A932)</f>
        <v/>
      </c>
      <c r="C935" s="55">
        <f>IF('04_DATA'!A932="","",IF(AND('04_DATA'!G932=1,'04_DATA'!H932=1,'04_DATA'!I932&gt;=3),"eligible","EXCLUDE"))</f>
        <v/>
      </c>
      <c r="D935" s="55">
        <f>IF('04_DATA'!A932="","",37-COUNT('04_DATA'!$K932:$AU932))</f>
        <v/>
      </c>
      <c r="E935" s="63">
        <f>IF('04_DATA'!A932="","",(37-COUNT('04_DATA'!$K932:$AU932))/37)</f>
        <v/>
      </c>
      <c r="F935" s="55">
        <f>IF('04_DATA'!A932="","",IF(AND(COUNT('04_DATA'!$K932:$AU932)=37,COUNTIF('04_DATA'!$K932:$AU932,INDEX('04_DATA'!$K932:$AU932,1))=37),"EXCLUDE","ok"))</f>
        <v/>
      </c>
      <c r="G935" s="55">
        <f>IF('04_DATA'!A932="","",IF('04_DATA'!D932&lt;PERCENTILE('04_DATA'!$D$2:$D$1001,0.05),"FLAG","ok"))</f>
        <v/>
      </c>
      <c r="H935" s="55">
        <f>IF('04_DATA'!A932="","",IF(OR(C935="EXCLUDE",F935="EXCLUDE"),"Exclude under pre-specified rule",IF(E935&gt;0.15,"Exclude: &gt;15% missing",IF(G935="FLAG","Retain; test in robustness battery","Retain"))))</f>
        <v/>
      </c>
    </row>
    <row r="936">
      <c r="A936" s="55" t="n">
        <v>933</v>
      </c>
      <c r="B936" s="55">
        <f>IF('04_DATA'!A933="","",'04_DATA'!A933)</f>
        <v/>
      </c>
      <c r="C936" s="55">
        <f>IF('04_DATA'!A933="","",IF(AND('04_DATA'!G933=1,'04_DATA'!H933=1,'04_DATA'!I933&gt;=3),"eligible","EXCLUDE"))</f>
        <v/>
      </c>
      <c r="D936" s="55">
        <f>IF('04_DATA'!A933="","",37-COUNT('04_DATA'!$K933:$AU933))</f>
        <v/>
      </c>
      <c r="E936" s="63">
        <f>IF('04_DATA'!A933="","",(37-COUNT('04_DATA'!$K933:$AU933))/37)</f>
        <v/>
      </c>
      <c r="F936" s="55">
        <f>IF('04_DATA'!A933="","",IF(AND(COUNT('04_DATA'!$K933:$AU933)=37,COUNTIF('04_DATA'!$K933:$AU933,INDEX('04_DATA'!$K933:$AU933,1))=37),"EXCLUDE","ok"))</f>
        <v/>
      </c>
      <c r="G936" s="55">
        <f>IF('04_DATA'!A933="","",IF('04_DATA'!D933&lt;PERCENTILE('04_DATA'!$D$2:$D$1001,0.05),"FLAG","ok"))</f>
        <v/>
      </c>
      <c r="H936" s="55">
        <f>IF('04_DATA'!A933="","",IF(OR(C936="EXCLUDE",F936="EXCLUDE"),"Exclude under pre-specified rule",IF(E936&gt;0.15,"Exclude: &gt;15% missing",IF(G936="FLAG","Retain; test in robustness battery","Retain"))))</f>
        <v/>
      </c>
    </row>
    <row r="937">
      <c r="A937" s="55" t="n">
        <v>934</v>
      </c>
      <c r="B937" s="55">
        <f>IF('04_DATA'!A934="","",'04_DATA'!A934)</f>
        <v/>
      </c>
      <c r="C937" s="55">
        <f>IF('04_DATA'!A934="","",IF(AND('04_DATA'!G934=1,'04_DATA'!H934=1,'04_DATA'!I934&gt;=3),"eligible","EXCLUDE"))</f>
        <v/>
      </c>
      <c r="D937" s="55">
        <f>IF('04_DATA'!A934="","",37-COUNT('04_DATA'!$K934:$AU934))</f>
        <v/>
      </c>
      <c r="E937" s="63">
        <f>IF('04_DATA'!A934="","",(37-COUNT('04_DATA'!$K934:$AU934))/37)</f>
        <v/>
      </c>
      <c r="F937" s="55">
        <f>IF('04_DATA'!A934="","",IF(AND(COUNT('04_DATA'!$K934:$AU934)=37,COUNTIF('04_DATA'!$K934:$AU934,INDEX('04_DATA'!$K934:$AU934,1))=37),"EXCLUDE","ok"))</f>
        <v/>
      </c>
      <c r="G937" s="55">
        <f>IF('04_DATA'!A934="","",IF('04_DATA'!D934&lt;PERCENTILE('04_DATA'!$D$2:$D$1001,0.05),"FLAG","ok"))</f>
        <v/>
      </c>
      <c r="H937" s="55">
        <f>IF('04_DATA'!A934="","",IF(OR(C937="EXCLUDE",F937="EXCLUDE"),"Exclude under pre-specified rule",IF(E937&gt;0.15,"Exclude: &gt;15% missing",IF(G937="FLAG","Retain; test in robustness battery","Retain"))))</f>
        <v/>
      </c>
    </row>
    <row r="938">
      <c r="A938" s="55" t="n">
        <v>935</v>
      </c>
      <c r="B938" s="55">
        <f>IF('04_DATA'!A935="","",'04_DATA'!A935)</f>
        <v/>
      </c>
      <c r="C938" s="55">
        <f>IF('04_DATA'!A935="","",IF(AND('04_DATA'!G935=1,'04_DATA'!H935=1,'04_DATA'!I935&gt;=3),"eligible","EXCLUDE"))</f>
        <v/>
      </c>
      <c r="D938" s="55">
        <f>IF('04_DATA'!A935="","",37-COUNT('04_DATA'!$K935:$AU935))</f>
        <v/>
      </c>
      <c r="E938" s="63">
        <f>IF('04_DATA'!A935="","",(37-COUNT('04_DATA'!$K935:$AU935))/37)</f>
        <v/>
      </c>
      <c r="F938" s="55">
        <f>IF('04_DATA'!A935="","",IF(AND(COUNT('04_DATA'!$K935:$AU935)=37,COUNTIF('04_DATA'!$K935:$AU935,INDEX('04_DATA'!$K935:$AU935,1))=37),"EXCLUDE","ok"))</f>
        <v/>
      </c>
      <c r="G938" s="55">
        <f>IF('04_DATA'!A935="","",IF('04_DATA'!D935&lt;PERCENTILE('04_DATA'!$D$2:$D$1001,0.05),"FLAG","ok"))</f>
        <v/>
      </c>
      <c r="H938" s="55">
        <f>IF('04_DATA'!A935="","",IF(OR(C938="EXCLUDE",F938="EXCLUDE"),"Exclude under pre-specified rule",IF(E938&gt;0.15,"Exclude: &gt;15% missing",IF(G938="FLAG","Retain; test in robustness battery","Retain"))))</f>
        <v/>
      </c>
    </row>
    <row r="939">
      <c r="A939" s="55" t="n">
        <v>936</v>
      </c>
      <c r="B939" s="55">
        <f>IF('04_DATA'!A936="","",'04_DATA'!A936)</f>
        <v/>
      </c>
      <c r="C939" s="55">
        <f>IF('04_DATA'!A936="","",IF(AND('04_DATA'!G936=1,'04_DATA'!H936=1,'04_DATA'!I936&gt;=3),"eligible","EXCLUDE"))</f>
        <v/>
      </c>
      <c r="D939" s="55">
        <f>IF('04_DATA'!A936="","",37-COUNT('04_DATA'!$K936:$AU936))</f>
        <v/>
      </c>
      <c r="E939" s="63">
        <f>IF('04_DATA'!A936="","",(37-COUNT('04_DATA'!$K936:$AU936))/37)</f>
        <v/>
      </c>
      <c r="F939" s="55">
        <f>IF('04_DATA'!A936="","",IF(AND(COUNT('04_DATA'!$K936:$AU936)=37,COUNTIF('04_DATA'!$K936:$AU936,INDEX('04_DATA'!$K936:$AU936,1))=37),"EXCLUDE","ok"))</f>
        <v/>
      </c>
      <c r="G939" s="55">
        <f>IF('04_DATA'!A936="","",IF('04_DATA'!D936&lt;PERCENTILE('04_DATA'!$D$2:$D$1001,0.05),"FLAG","ok"))</f>
        <v/>
      </c>
      <c r="H939" s="55">
        <f>IF('04_DATA'!A936="","",IF(OR(C939="EXCLUDE",F939="EXCLUDE"),"Exclude under pre-specified rule",IF(E939&gt;0.15,"Exclude: &gt;15% missing",IF(G939="FLAG","Retain; test in robustness battery","Retain"))))</f>
        <v/>
      </c>
    </row>
    <row r="940">
      <c r="A940" s="55" t="n">
        <v>937</v>
      </c>
      <c r="B940" s="55">
        <f>IF('04_DATA'!A937="","",'04_DATA'!A937)</f>
        <v/>
      </c>
      <c r="C940" s="55">
        <f>IF('04_DATA'!A937="","",IF(AND('04_DATA'!G937=1,'04_DATA'!H937=1,'04_DATA'!I937&gt;=3),"eligible","EXCLUDE"))</f>
        <v/>
      </c>
      <c r="D940" s="55">
        <f>IF('04_DATA'!A937="","",37-COUNT('04_DATA'!$K937:$AU937))</f>
        <v/>
      </c>
      <c r="E940" s="63">
        <f>IF('04_DATA'!A937="","",(37-COUNT('04_DATA'!$K937:$AU937))/37)</f>
        <v/>
      </c>
      <c r="F940" s="55">
        <f>IF('04_DATA'!A937="","",IF(AND(COUNT('04_DATA'!$K937:$AU937)=37,COUNTIF('04_DATA'!$K937:$AU937,INDEX('04_DATA'!$K937:$AU937,1))=37),"EXCLUDE","ok"))</f>
        <v/>
      </c>
      <c r="G940" s="55">
        <f>IF('04_DATA'!A937="","",IF('04_DATA'!D937&lt;PERCENTILE('04_DATA'!$D$2:$D$1001,0.05),"FLAG","ok"))</f>
        <v/>
      </c>
      <c r="H940" s="55">
        <f>IF('04_DATA'!A937="","",IF(OR(C940="EXCLUDE",F940="EXCLUDE"),"Exclude under pre-specified rule",IF(E940&gt;0.15,"Exclude: &gt;15% missing",IF(G940="FLAG","Retain; test in robustness battery","Retain"))))</f>
        <v/>
      </c>
    </row>
    <row r="941">
      <c r="A941" s="55" t="n">
        <v>938</v>
      </c>
      <c r="B941" s="55">
        <f>IF('04_DATA'!A938="","",'04_DATA'!A938)</f>
        <v/>
      </c>
      <c r="C941" s="55">
        <f>IF('04_DATA'!A938="","",IF(AND('04_DATA'!G938=1,'04_DATA'!H938=1,'04_DATA'!I938&gt;=3),"eligible","EXCLUDE"))</f>
        <v/>
      </c>
      <c r="D941" s="55">
        <f>IF('04_DATA'!A938="","",37-COUNT('04_DATA'!$K938:$AU938))</f>
        <v/>
      </c>
      <c r="E941" s="63">
        <f>IF('04_DATA'!A938="","",(37-COUNT('04_DATA'!$K938:$AU938))/37)</f>
        <v/>
      </c>
      <c r="F941" s="55">
        <f>IF('04_DATA'!A938="","",IF(AND(COUNT('04_DATA'!$K938:$AU938)=37,COUNTIF('04_DATA'!$K938:$AU938,INDEX('04_DATA'!$K938:$AU938,1))=37),"EXCLUDE","ok"))</f>
        <v/>
      </c>
      <c r="G941" s="55">
        <f>IF('04_DATA'!A938="","",IF('04_DATA'!D938&lt;PERCENTILE('04_DATA'!$D$2:$D$1001,0.05),"FLAG","ok"))</f>
        <v/>
      </c>
      <c r="H941" s="55">
        <f>IF('04_DATA'!A938="","",IF(OR(C941="EXCLUDE",F941="EXCLUDE"),"Exclude under pre-specified rule",IF(E941&gt;0.15,"Exclude: &gt;15% missing",IF(G941="FLAG","Retain; test in robustness battery","Retain"))))</f>
        <v/>
      </c>
    </row>
    <row r="942">
      <c r="A942" s="55" t="n">
        <v>939</v>
      </c>
      <c r="B942" s="55">
        <f>IF('04_DATA'!A939="","",'04_DATA'!A939)</f>
        <v/>
      </c>
      <c r="C942" s="55">
        <f>IF('04_DATA'!A939="","",IF(AND('04_DATA'!G939=1,'04_DATA'!H939=1,'04_DATA'!I939&gt;=3),"eligible","EXCLUDE"))</f>
        <v/>
      </c>
      <c r="D942" s="55">
        <f>IF('04_DATA'!A939="","",37-COUNT('04_DATA'!$K939:$AU939))</f>
        <v/>
      </c>
      <c r="E942" s="63">
        <f>IF('04_DATA'!A939="","",(37-COUNT('04_DATA'!$K939:$AU939))/37)</f>
        <v/>
      </c>
      <c r="F942" s="55">
        <f>IF('04_DATA'!A939="","",IF(AND(COUNT('04_DATA'!$K939:$AU939)=37,COUNTIF('04_DATA'!$K939:$AU939,INDEX('04_DATA'!$K939:$AU939,1))=37),"EXCLUDE","ok"))</f>
        <v/>
      </c>
      <c r="G942" s="55">
        <f>IF('04_DATA'!A939="","",IF('04_DATA'!D939&lt;PERCENTILE('04_DATA'!$D$2:$D$1001,0.05),"FLAG","ok"))</f>
        <v/>
      </c>
      <c r="H942" s="55">
        <f>IF('04_DATA'!A939="","",IF(OR(C942="EXCLUDE",F942="EXCLUDE"),"Exclude under pre-specified rule",IF(E942&gt;0.15,"Exclude: &gt;15% missing",IF(G942="FLAG","Retain; test in robustness battery","Retain"))))</f>
        <v/>
      </c>
    </row>
    <row r="943">
      <c r="A943" s="55" t="n">
        <v>940</v>
      </c>
      <c r="B943" s="55">
        <f>IF('04_DATA'!A940="","",'04_DATA'!A940)</f>
        <v/>
      </c>
      <c r="C943" s="55">
        <f>IF('04_DATA'!A940="","",IF(AND('04_DATA'!G940=1,'04_DATA'!H940=1,'04_DATA'!I940&gt;=3),"eligible","EXCLUDE"))</f>
        <v/>
      </c>
      <c r="D943" s="55">
        <f>IF('04_DATA'!A940="","",37-COUNT('04_DATA'!$K940:$AU940))</f>
        <v/>
      </c>
      <c r="E943" s="63">
        <f>IF('04_DATA'!A940="","",(37-COUNT('04_DATA'!$K940:$AU940))/37)</f>
        <v/>
      </c>
      <c r="F943" s="55">
        <f>IF('04_DATA'!A940="","",IF(AND(COUNT('04_DATA'!$K940:$AU940)=37,COUNTIF('04_DATA'!$K940:$AU940,INDEX('04_DATA'!$K940:$AU940,1))=37),"EXCLUDE","ok"))</f>
        <v/>
      </c>
      <c r="G943" s="55">
        <f>IF('04_DATA'!A940="","",IF('04_DATA'!D940&lt;PERCENTILE('04_DATA'!$D$2:$D$1001,0.05),"FLAG","ok"))</f>
        <v/>
      </c>
      <c r="H943" s="55">
        <f>IF('04_DATA'!A940="","",IF(OR(C943="EXCLUDE",F943="EXCLUDE"),"Exclude under pre-specified rule",IF(E943&gt;0.15,"Exclude: &gt;15% missing",IF(G943="FLAG","Retain; test in robustness battery","Retain"))))</f>
        <v/>
      </c>
    </row>
    <row r="944">
      <c r="A944" s="55" t="n">
        <v>941</v>
      </c>
      <c r="B944" s="55">
        <f>IF('04_DATA'!A941="","",'04_DATA'!A941)</f>
        <v/>
      </c>
      <c r="C944" s="55">
        <f>IF('04_DATA'!A941="","",IF(AND('04_DATA'!G941=1,'04_DATA'!H941=1,'04_DATA'!I941&gt;=3),"eligible","EXCLUDE"))</f>
        <v/>
      </c>
      <c r="D944" s="55">
        <f>IF('04_DATA'!A941="","",37-COUNT('04_DATA'!$K941:$AU941))</f>
        <v/>
      </c>
      <c r="E944" s="63">
        <f>IF('04_DATA'!A941="","",(37-COUNT('04_DATA'!$K941:$AU941))/37)</f>
        <v/>
      </c>
      <c r="F944" s="55">
        <f>IF('04_DATA'!A941="","",IF(AND(COUNT('04_DATA'!$K941:$AU941)=37,COUNTIF('04_DATA'!$K941:$AU941,INDEX('04_DATA'!$K941:$AU941,1))=37),"EXCLUDE","ok"))</f>
        <v/>
      </c>
      <c r="G944" s="55">
        <f>IF('04_DATA'!A941="","",IF('04_DATA'!D941&lt;PERCENTILE('04_DATA'!$D$2:$D$1001,0.05),"FLAG","ok"))</f>
        <v/>
      </c>
      <c r="H944" s="55">
        <f>IF('04_DATA'!A941="","",IF(OR(C944="EXCLUDE",F944="EXCLUDE"),"Exclude under pre-specified rule",IF(E944&gt;0.15,"Exclude: &gt;15% missing",IF(G944="FLAG","Retain; test in robustness battery","Retain"))))</f>
        <v/>
      </c>
    </row>
    <row r="945">
      <c r="A945" s="55" t="n">
        <v>942</v>
      </c>
      <c r="B945" s="55">
        <f>IF('04_DATA'!A942="","",'04_DATA'!A942)</f>
        <v/>
      </c>
      <c r="C945" s="55">
        <f>IF('04_DATA'!A942="","",IF(AND('04_DATA'!G942=1,'04_DATA'!H942=1,'04_DATA'!I942&gt;=3),"eligible","EXCLUDE"))</f>
        <v/>
      </c>
      <c r="D945" s="55">
        <f>IF('04_DATA'!A942="","",37-COUNT('04_DATA'!$K942:$AU942))</f>
        <v/>
      </c>
      <c r="E945" s="63">
        <f>IF('04_DATA'!A942="","",(37-COUNT('04_DATA'!$K942:$AU942))/37)</f>
        <v/>
      </c>
      <c r="F945" s="55">
        <f>IF('04_DATA'!A942="","",IF(AND(COUNT('04_DATA'!$K942:$AU942)=37,COUNTIF('04_DATA'!$K942:$AU942,INDEX('04_DATA'!$K942:$AU942,1))=37),"EXCLUDE","ok"))</f>
        <v/>
      </c>
      <c r="G945" s="55">
        <f>IF('04_DATA'!A942="","",IF('04_DATA'!D942&lt;PERCENTILE('04_DATA'!$D$2:$D$1001,0.05),"FLAG","ok"))</f>
        <v/>
      </c>
      <c r="H945" s="55">
        <f>IF('04_DATA'!A942="","",IF(OR(C945="EXCLUDE",F945="EXCLUDE"),"Exclude under pre-specified rule",IF(E945&gt;0.15,"Exclude: &gt;15% missing",IF(G945="FLAG","Retain; test in robustness battery","Retain"))))</f>
        <v/>
      </c>
    </row>
    <row r="946">
      <c r="A946" s="55" t="n">
        <v>943</v>
      </c>
      <c r="B946" s="55">
        <f>IF('04_DATA'!A943="","",'04_DATA'!A943)</f>
        <v/>
      </c>
      <c r="C946" s="55">
        <f>IF('04_DATA'!A943="","",IF(AND('04_DATA'!G943=1,'04_DATA'!H943=1,'04_DATA'!I943&gt;=3),"eligible","EXCLUDE"))</f>
        <v/>
      </c>
      <c r="D946" s="55">
        <f>IF('04_DATA'!A943="","",37-COUNT('04_DATA'!$K943:$AU943))</f>
        <v/>
      </c>
      <c r="E946" s="63">
        <f>IF('04_DATA'!A943="","",(37-COUNT('04_DATA'!$K943:$AU943))/37)</f>
        <v/>
      </c>
      <c r="F946" s="55">
        <f>IF('04_DATA'!A943="","",IF(AND(COUNT('04_DATA'!$K943:$AU943)=37,COUNTIF('04_DATA'!$K943:$AU943,INDEX('04_DATA'!$K943:$AU943,1))=37),"EXCLUDE","ok"))</f>
        <v/>
      </c>
      <c r="G946" s="55">
        <f>IF('04_DATA'!A943="","",IF('04_DATA'!D943&lt;PERCENTILE('04_DATA'!$D$2:$D$1001,0.05),"FLAG","ok"))</f>
        <v/>
      </c>
      <c r="H946" s="55">
        <f>IF('04_DATA'!A943="","",IF(OR(C946="EXCLUDE",F946="EXCLUDE"),"Exclude under pre-specified rule",IF(E946&gt;0.15,"Exclude: &gt;15% missing",IF(G946="FLAG","Retain; test in robustness battery","Retain"))))</f>
        <v/>
      </c>
    </row>
    <row r="947">
      <c r="A947" s="55" t="n">
        <v>944</v>
      </c>
      <c r="B947" s="55">
        <f>IF('04_DATA'!A944="","",'04_DATA'!A944)</f>
        <v/>
      </c>
      <c r="C947" s="55">
        <f>IF('04_DATA'!A944="","",IF(AND('04_DATA'!G944=1,'04_DATA'!H944=1,'04_DATA'!I944&gt;=3),"eligible","EXCLUDE"))</f>
        <v/>
      </c>
      <c r="D947" s="55">
        <f>IF('04_DATA'!A944="","",37-COUNT('04_DATA'!$K944:$AU944))</f>
        <v/>
      </c>
      <c r="E947" s="63">
        <f>IF('04_DATA'!A944="","",(37-COUNT('04_DATA'!$K944:$AU944))/37)</f>
        <v/>
      </c>
      <c r="F947" s="55">
        <f>IF('04_DATA'!A944="","",IF(AND(COUNT('04_DATA'!$K944:$AU944)=37,COUNTIF('04_DATA'!$K944:$AU944,INDEX('04_DATA'!$K944:$AU944,1))=37),"EXCLUDE","ok"))</f>
        <v/>
      </c>
      <c r="G947" s="55">
        <f>IF('04_DATA'!A944="","",IF('04_DATA'!D944&lt;PERCENTILE('04_DATA'!$D$2:$D$1001,0.05),"FLAG","ok"))</f>
        <v/>
      </c>
      <c r="H947" s="55">
        <f>IF('04_DATA'!A944="","",IF(OR(C947="EXCLUDE",F947="EXCLUDE"),"Exclude under pre-specified rule",IF(E947&gt;0.15,"Exclude: &gt;15% missing",IF(G947="FLAG","Retain; test in robustness battery","Retain"))))</f>
        <v/>
      </c>
    </row>
    <row r="948">
      <c r="A948" s="55" t="n">
        <v>945</v>
      </c>
      <c r="B948" s="55">
        <f>IF('04_DATA'!A945="","",'04_DATA'!A945)</f>
        <v/>
      </c>
      <c r="C948" s="55">
        <f>IF('04_DATA'!A945="","",IF(AND('04_DATA'!G945=1,'04_DATA'!H945=1,'04_DATA'!I945&gt;=3),"eligible","EXCLUDE"))</f>
        <v/>
      </c>
      <c r="D948" s="55">
        <f>IF('04_DATA'!A945="","",37-COUNT('04_DATA'!$K945:$AU945))</f>
        <v/>
      </c>
      <c r="E948" s="63">
        <f>IF('04_DATA'!A945="","",(37-COUNT('04_DATA'!$K945:$AU945))/37)</f>
        <v/>
      </c>
      <c r="F948" s="55">
        <f>IF('04_DATA'!A945="","",IF(AND(COUNT('04_DATA'!$K945:$AU945)=37,COUNTIF('04_DATA'!$K945:$AU945,INDEX('04_DATA'!$K945:$AU945,1))=37),"EXCLUDE","ok"))</f>
        <v/>
      </c>
      <c r="G948" s="55">
        <f>IF('04_DATA'!A945="","",IF('04_DATA'!D945&lt;PERCENTILE('04_DATA'!$D$2:$D$1001,0.05),"FLAG","ok"))</f>
        <v/>
      </c>
      <c r="H948" s="55">
        <f>IF('04_DATA'!A945="","",IF(OR(C948="EXCLUDE",F948="EXCLUDE"),"Exclude under pre-specified rule",IF(E948&gt;0.15,"Exclude: &gt;15% missing",IF(G948="FLAG","Retain; test in robustness battery","Retain"))))</f>
        <v/>
      </c>
    </row>
    <row r="949">
      <c r="A949" s="55" t="n">
        <v>946</v>
      </c>
      <c r="B949" s="55">
        <f>IF('04_DATA'!A946="","",'04_DATA'!A946)</f>
        <v/>
      </c>
      <c r="C949" s="55">
        <f>IF('04_DATA'!A946="","",IF(AND('04_DATA'!G946=1,'04_DATA'!H946=1,'04_DATA'!I946&gt;=3),"eligible","EXCLUDE"))</f>
        <v/>
      </c>
      <c r="D949" s="55">
        <f>IF('04_DATA'!A946="","",37-COUNT('04_DATA'!$K946:$AU946))</f>
        <v/>
      </c>
      <c r="E949" s="63">
        <f>IF('04_DATA'!A946="","",(37-COUNT('04_DATA'!$K946:$AU946))/37)</f>
        <v/>
      </c>
      <c r="F949" s="55">
        <f>IF('04_DATA'!A946="","",IF(AND(COUNT('04_DATA'!$K946:$AU946)=37,COUNTIF('04_DATA'!$K946:$AU946,INDEX('04_DATA'!$K946:$AU946,1))=37),"EXCLUDE","ok"))</f>
        <v/>
      </c>
      <c r="G949" s="55">
        <f>IF('04_DATA'!A946="","",IF('04_DATA'!D946&lt;PERCENTILE('04_DATA'!$D$2:$D$1001,0.05),"FLAG","ok"))</f>
        <v/>
      </c>
      <c r="H949" s="55">
        <f>IF('04_DATA'!A946="","",IF(OR(C949="EXCLUDE",F949="EXCLUDE"),"Exclude under pre-specified rule",IF(E949&gt;0.15,"Exclude: &gt;15% missing",IF(G949="FLAG","Retain; test in robustness battery","Retain"))))</f>
        <v/>
      </c>
    </row>
    <row r="950">
      <c r="A950" s="55" t="n">
        <v>947</v>
      </c>
      <c r="B950" s="55">
        <f>IF('04_DATA'!A947="","",'04_DATA'!A947)</f>
        <v/>
      </c>
      <c r="C950" s="55">
        <f>IF('04_DATA'!A947="","",IF(AND('04_DATA'!G947=1,'04_DATA'!H947=1,'04_DATA'!I947&gt;=3),"eligible","EXCLUDE"))</f>
        <v/>
      </c>
      <c r="D950" s="55">
        <f>IF('04_DATA'!A947="","",37-COUNT('04_DATA'!$K947:$AU947))</f>
        <v/>
      </c>
      <c r="E950" s="63">
        <f>IF('04_DATA'!A947="","",(37-COUNT('04_DATA'!$K947:$AU947))/37)</f>
        <v/>
      </c>
      <c r="F950" s="55">
        <f>IF('04_DATA'!A947="","",IF(AND(COUNT('04_DATA'!$K947:$AU947)=37,COUNTIF('04_DATA'!$K947:$AU947,INDEX('04_DATA'!$K947:$AU947,1))=37),"EXCLUDE","ok"))</f>
        <v/>
      </c>
      <c r="G950" s="55">
        <f>IF('04_DATA'!A947="","",IF('04_DATA'!D947&lt;PERCENTILE('04_DATA'!$D$2:$D$1001,0.05),"FLAG","ok"))</f>
        <v/>
      </c>
      <c r="H950" s="55">
        <f>IF('04_DATA'!A947="","",IF(OR(C950="EXCLUDE",F950="EXCLUDE"),"Exclude under pre-specified rule",IF(E950&gt;0.15,"Exclude: &gt;15% missing",IF(G950="FLAG","Retain; test in robustness battery","Retain"))))</f>
        <v/>
      </c>
    </row>
    <row r="951">
      <c r="A951" s="55" t="n">
        <v>948</v>
      </c>
      <c r="B951" s="55">
        <f>IF('04_DATA'!A948="","",'04_DATA'!A948)</f>
        <v/>
      </c>
      <c r="C951" s="55">
        <f>IF('04_DATA'!A948="","",IF(AND('04_DATA'!G948=1,'04_DATA'!H948=1,'04_DATA'!I948&gt;=3),"eligible","EXCLUDE"))</f>
        <v/>
      </c>
      <c r="D951" s="55">
        <f>IF('04_DATA'!A948="","",37-COUNT('04_DATA'!$K948:$AU948))</f>
        <v/>
      </c>
      <c r="E951" s="63">
        <f>IF('04_DATA'!A948="","",(37-COUNT('04_DATA'!$K948:$AU948))/37)</f>
        <v/>
      </c>
      <c r="F951" s="55">
        <f>IF('04_DATA'!A948="","",IF(AND(COUNT('04_DATA'!$K948:$AU948)=37,COUNTIF('04_DATA'!$K948:$AU948,INDEX('04_DATA'!$K948:$AU948,1))=37),"EXCLUDE","ok"))</f>
        <v/>
      </c>
      <c r="G951" s="55">
        <f>IF('04_DATA'!A948="","",IF('04_DATA'!D948&lt;PERCENTILE('04_DATA'!$D$2:$D$1001,0.05),"FLAG","ok"))</f>
        <v/>
      </c>
      <c r="H951" s="55">
        <f>IF('04_DATA'!A948="","",IF(OR(C951="EXCLUDE",F951="EXCLUDE"),"Exclude under pre-specified rule",IF(E951&gt;0.15,"Exclude: &gt;15% missing",IF(G951="FLAG","Retain; test in robustness battery","Retain"))))</f>
        <v/>
      </c>
    </row>
    <row r="952">
      <c r="A952" s="55" t="n">
        <v>949</v>
      </c>
      <c r="B952" s="55">
        <f>IF('04_DATA'!A949="","",'04_DATA'!A949)</f>
        <v/>
      </c>
      <c r="C952" s="55">
        <f>IF('04_DATA'!A949="","",IF(AND('04_DATA'!G949=1,'04_DATA'!H949=1,'04_DATA'!I949&gt;=3),"eligible","EXCLUDE"))</f>
        <v/>
      </c>
      <c r="D952" s="55">
        <f>IF('04_DATA'!A949="","",37-COUNT('04_DATA'!$K949:$AU949))</f>
        <v/>
      </c>
      <c r="E952" s="63">
        <f>IF('04_DATA'!A949="","",(37-COUNT('04_DATA'!$K949:$AU949))/37)</f>
        <v/>
      </c>
      <c r="F952" s="55">
        <f>IF('04_DATA'!A949="","",IF(AND(COUNT('04_DATA'!$K949:$AU949)=37,COUNTIF('04_DATA'!$K949:$AU949,INDEX('04_DATA'!$K949:$AU949,1))=37),"EXCLUDE","ok"))</f>
        <v/>
      </c>
      <c r="G952" s="55">
        <f>IF('04_DATA'!A949="","",IF('04_DATA'!D949&lt;PERCENTILE('04_DATA'!$D$2:$D$1001,0.05),"FLAG","ok"))</f>
        <v/>
      </c>
      <c r="H952" s="55">
        <f>IF('04_DATA'!A949="","",IF(OR(C952="EXCLUDE",F952="EXCLUDE"),"Exclude under pre-specified rule",IF(E952&gt;0.15,"Exclude: &gt;15% missing",IF(G952="FLAG","Retain; test in robustness battery","Retain"))))</f>
        <v/>
      </c>
    </row>
    <row r="953">
      <c r="A953" s="55" t="n">
        <v>950</v>
      </c>
      <c r="B953" s="55">
        <f>IF('04_DATA'!A950="","",'04_DATA'!A950)</f>
        <v/>
      </c>
      <c r="C953" s="55">
        <f>IF('04_DATA'!A950="","",IF(AND('04_DATA'!G950=1,'04_DATA'!H950=1,'04_DATA'!I950&gt;=3),"eligible","EXCLUDE"))</f>
        <v/>
      </c>
      <c r="D953" s="55">
        <f>IF('04_DATA'!A950="","",37-COUNT('04_DATA'!$K950:$AU950))</f>
        <v/>
      </c>
      <c r="E953" s="63">
        <f>IF('04_DATA'!A950="","",(37-COUNT('04_DATA'!$K950:$AU950))/37)</f>
        <v/>
      </c>
      <c r="F953" s="55">
        <f>IF('04_DATA'!A950="","",IF(AND(COUNT('04_DATA'!$K950:$AU950)=37,COUNTIF('04_DATA'!$K950:$AU950,INDEX('04_DATA'!$K950:$AU950,1))=37),"EXCLUDE","ok"))</f>
        <v/>
      </c>
      <c r="G953" s="55">
        <f>IF('04_DATA'!A950="","",IF('04_DATA'!D950&lt;PERCENTILE('04_DATA'!$D$2:$D$1001,0.05),"FLAG","ok"))</f>
        <v/>
      </c>
      <c r="H953" s="55">
        <f>IF('04_DATA'!A950="","",IF(OR(C953="EXCLUDE",F953="EXCLUDE"),"Exclude under pre-specified rule",IF(E953&gt;0.15,"Exclude: &gt;15% missing",IF(G953="FLAG","Retain; test in robustness battery","Retain"))))</f>
        <v/>
      </c>
    </row>
    <row r="954">
      <c r="A954" s="55" t="n">
        <v>951</v>
      </c>
      <c r="B954" s="55">
        <f>IF('04_DATA'!A951="","",'04_DATA'!A951)</f>
        <v/>
      </c>
      <c r="C954" s="55">
        <f>IF('04_DATA'!A951="","",IF(AND('04_DATA'!G951=1,'04_DATA'!H951=1,'04_DATA'!I951&gt;=3),"eligible","EXCLUDE"))</f>
        <v/>
      </c>
      <c r="D954" s="55">
        <f>IF('04_DATA'!A951="","",37-COUNT('04_DATA'!$K951:$AU951))</f>
        <v/>
      </c>
      <c r="E954" s="63">
        <f>IF('04_DATA'!A951="","",(37-COUNT('04_DATA'!$K951:$AU951))/37)</f>
        <v/>
      </c>
      <c r="F954" s="55">
        <f>IF('04_DATA'!A951="","",IF(AND(COUNT('04_DATA'!$K951:$AU951)=37,COUNTIF('04_DATA'!$K951:$AU951,INDEX('04_DATA'!$K951:$AU951,1))=37),"EXCLUDE","ok"))</f>
        <v/>
      </c>
      <c r="G954" s="55">
        <f>IF('04_DATA'!A951="","",IF('04_DATA'!D951&lt;PERCENTILE('04_DATA'!$D$2:$D$1001,0.05),"FLAG","ok"))</f>
        <v/>
      </c>
      <c r="H954" s="55">
        <f>IF('04_DATA'!A951="","",IF(OR(C954="EXCLUDE",F954="EXCLUDE"),"Exclude under pre-specified rule",IF(E954&gt;0.15,"Exclude: &gt;15% missing",IF(G954="FLAG","Retain; test in robustness battery","Retain"))))</f>
        <v/>
      </c>
    </row>
    <row r="955">
      <c r="A955" s="55" t="n">
        <v>952</v>
      </c>
      <c r="B955" s="55">
        <f>IF('04_DATA'!A952="","",'04_DATA'!A952)</f>
        <v/>
      </c>
      <c r="C955" s="55">
        <f>IF('04_DATA'!A952="","",IF(AND('04_DATA'!G952=1,'04_DATA'!H952=1,'04_DATA'!I952&gt;=3),"eligible","EXCLUDE"))</f>
        <v/>
      </c>
      <c r="D955" s="55">
        <f>IF('04_DATA'!A952="","",37-COUNT('04_DATA'!$K952:$AU952))</f>
        <v/>
      </c>
      <c r="E955" s="63">
        <f>IF('04_DATA'!A952="","",(37-COUNT('04_DATA'!$K952:$AU952))/37)</f>
        <v/>
      </c>
      <c r="F955" s="55">
        <f>IF('04_DATA'!A952="","",IF(AND(COUNT('04_DATA'!$K952:$AU952)=37,COUNTIF('04_DATA'!$K952:$AU952,INDEX('04_DATA'!$K952:$AU952,1))=37),"EXCLUDE","ok"))</f>
        <v/>
      </c>
      <c r="G955" s="55">
        <f>IF('04_DATA'!A952="","",IF('04_DATA'!D952&lt;PERCENTILE('04_DATA'!$D$2:$D$1001,0.05),"FLAG","ok"))</f>
        <v/>
      </c>
      <c r="H955" s="55">
        <f>IF('04_DATA'!A952="","",IF(OR(C955="EXCLUDE",F955="EXCLUDE"),"Exclude under pre-specified rule",IF(E955&gt;0.15,"Exclude: &gt;15% missing",IF(G955="FLAG","Retain; test in robustness battery","Retain"))))</f>
        <v/>
      </c>
    </row>
    <row r="956">
      <c r="A956" s="55" t="n">
        <v>953</v>
      </c>
      <c r="B956" s="55">
        <f>IF('04_DATA'!A953="","",'04_DATA'!A953)</f>
        <v/>
      </c>
      <c r="C956" s="55">
        <f>IF('04_DATA'!A953="","",IF(AND('04_DATA'!G953=1,'04_DATA'!H953=1,'04_DATA'!I953&gt;=3),"eligible","EXCLUDE"))</f>
        <v/>
      </c>
      <c r="D956" s="55">
        <f>IF('04_DATA'!A953="","",37-COUNT('04_DATA'!$K953:$AU953))</f>
        <v/>
      </c>
      <c r="E956" s="63">
        <f>IF('04_DATA'!A953="","",(37-COUNT('04_DATA'!$K953:$AU953))/37)</f>
        <v/>
      </c>
      <c r="F956" s="55">
        <f>IF('04_DATA'!A953="","",IF(AND(COUNT('04_DATA'!$K953:$AU953)=37,COUNTIF('04_DATA'!$K953:$AU953,INDEX('04_DATA'!$K953:$AU953,1))=37),"EXCLUDE","ok"))</f>
        <v/>
      </c>
      <c r="G956" s="55">
        <f>IF('04_DATA'!A953="","",IF('04_DATA'!D953&lt;PERCENTILE('04_DATA'!$D$2:$D$1001,0.05),"FLAG","ok"))</f>
        <v/>
      </c>
      <c r="H956" s="55">
        <f>IF('04_DATA'!A953="","",IF(OR(C956="EXCLUDE",F956="EXCLUDE"),"Exclude under pre-specified rule",IF(E956&gt;0.15,"Exclude: &gt;15% missing",IF(G956="FLAG","Retain; test in robustness battery","Retain"))))</f>
        <v/>
      </c>
    </row>
    <row r="957">
      <c r="A957" s="55" t="n">
        <v>954</v>
      </c>
      <c r="B957" s="55">
        <f>IF('04_DATA'!A954="","",'04_DATA'!A954)</f>
        <v/>
      </c>
      <c r="C957" s="55">
        <f>IF('04_DATA'!A954="","",IF(AND('04_DATA'!G954=1,'04_DATA'!H954=1,'04_DATA'!I954&gt;=3),"eligible","EXCLUDE"))</f>
        <v/>
      </c>
      <c r="D957" s="55">
        <f>IF('04_DATA'!A954="","",37-COUNT('04_DATA'!$K954:$AU954))</f>
        <v/>
      </c>
      <c r="E957" s="63">
        <f>IF('04_DATA'!A954="","",(37-COUNT('04_DATA'!$K954:$AU954))/37)</f>
        <v/>
      </c>
      <c r="F957" s="55">
        <f>IF('04_DATA'!A954="","",IF(AND(COUNT('04_DATA'!$K954:$AU954)=37,COUNTIF('04_DATA'!$K954:$AU954,INDEX('04_DATA'!$K954:$AU954,1))=37),"EXCLUDE","ok"))</f>
        <v/>
      </c>
      <c r="G957" s="55">
        <f>IF('04_DATA'!A954="","",IF('04_DATA'!D954&lt;PERCENTILE('04_DATA'!$D$2:$D$1001,0.05),"FLAG","ok"))</f>
        <v/>
      </c>
      <c r="H957" s="55">
        <f>IF('04_DATA'!A954="","",IF(OR(C957="EXCLUDE",F957="EXCLUDE"),"Exclude under pre-specified rule",IF(E957&gt;0.15,"Exclude: &gt;15% missing",IF(G957="FLAG","Retain; test in robustness battery","Retain"))))</f>
        <v/>
      </c>
    </row>
    <row r="958">
      <c r="A958" s="55" t="n">
        <v>955</v>
      </c>
      <c r="B958" s="55">
        <f>IF('04_DATA'!A955="","",'04_DATA'!A955)</f>
        <v/>
      </c>
      <c r="C958" s="55">
        <f>IF('04_DATA'!A955="","",IF(AND('04_DATA'!G955=1,'04_DATA'!H955=1,'04_DATA'!I955&gt;=3),"eligible","EXCLUDE"))</f>
        <v/>
      </c>
      <c r="D958" s="55">
        <f>IF('04_DATA'!A955="","",37-COUNT('04_DATA'!$K955:$AU955))</f>
        <v/>
      </c>
      <c r="E958" s="63">
        <f>IF('04_DATA'!A955="","",(37-COUNT('04_DATA'!$K955:$AU955))/37)</f>
        <v/>
      </c>
      <c r="F958" s="55">
        <f>IF('04_DATA'!A955="","",IF(AND(COUNT('04_DATA'!$K955:$AU955)=37,COUNTIF('04_DATA'!$K955:$AU955,INDEX('04_DATA'!$K955:$AU955,1))=37),"EXCLUDE","ok"))</f>
        <v/>
      </c>
      <c r="G958" s="55">
        <f>IF('04_DATA'!A955="","",IF('04_DATA'!D955&lt;PERCENTILE('04_DATA'!$D$2:$D$1001,0.05),"FLAG","ok"))</f>
        <v/>
      </c>
      <c r="H958" s="55">
        <f>IF('04_DATA'!A955="","",IF(OR(C958="EXCLUDE",F958="EXCLUDE"),"Exclude under pre-specified rule",IF(E958&gt;0.15,"Exclude: &gt;15% missing",IF(G958="FLAG","Retain; test in robustness battery","Retain"))))</f>
        <v/>
      </c>
    </row>
    <row r="959">
      <c r="A959" s="55" t="n">
        <v>956</v>
      </c>
      <c r="B959" s="55">
        <f>IF('04_DATA'!A956="","",'04_DATA'!A956)</f>
        <v/>
      </c>
      <c r="C959" s="55">
        <f>IF('04_DATA'!A956="","",IF(AND('04_DATA'!G956=1,'04_DATA'!H956=1,'04_DATA'!I956&gt;=3),"eligible","EXCLUDE"))</f>
        <v/>
      </c>
      <c r="D959" s="55">
        <f>IF('04_DATA'!A956="","",37-COUNT('04_DATA'!$K956:$AU956))</f>
        <v/>
      </c>
      <c r="E959" s="63">
        <f>IF('04_DATA'!A956="","",(37-COUNT('04_DATA'!$K956:$AU956))/37)</f>
        <v/>
      </c>
      <c r="F959" s="55">
        <f>IF('04_DATA'!A956="","",IF(AND(COUNT('04_DATA'!$K956:$AU956)=37,COUNTIF('04_DATA'!$K956:$AU956,INDEX('04_DATA'!$K956:$AU956,1))=37),"EXCLUDE","ok"))</f>
        <v/>
      </c>
      <c r="G959" s="55">
        <f>IF('04_DATA'!A956="","",IF('04_DATA'!D956&lt;PERCENTILE('04_DATA'!$D$2:$D$1001,0.05),"FLAG","ok"))</f>
        <v/>
      </c>
      <c r="H959" s="55">
        <f>IF('04_DATA'!A956="","",IF(OR(C959="EXCLUDE",F959="EXCLUDE"),"Exclude under pre-specified rule",IF(E959&gt;0.15,"Exclude: &gt;15% missing",IF(G959="FLAG","Retain; test in robustness battery","Retain"))))</f>
        <v/>
      </c>
    </row>
    <row r="960">
      <c r="A960" s="55" t="n">
        <v>957</v>
      </c>
      <c r="B960" s="55">
        <f>IF('04_DATA'!A957="","",'04_DATA'!A957)</f>
        <v/>
      </c>
      <c r="C960" s="55">
        <f>IF('04_DATA'!A957="","",IF(AND('04_DATA'!G957=1,'04_DATA'!H957=1,'04_DATA'!I957&gt;=3),"eligible","EXCLUDE"))</f>
        <v/>
      </c>
      <c r="D960" s="55">
        <f>IF('04_DATA'!A957="","",37-COUNT('04_DATA'!$K957:$AU957))</f>
        <v/>
      </c>
      <c r="E960" s="63">
        <f>IF('04_DATA'!A957="","",(37-COUNT('04_DATA'!$K957:$AU957))/37)</f>
        <v/>
      </c>
      <c r="F960" s="55">
        <f>IF('04_DATA'!A957="","",IF(AND(COUNT('04_DATA'!$K957:$AU957)=37,COUNTIF('04_DATA'!$K957:$AU957,INDEX('04_DATA'!$K957:$AU957,1))=37),"EXCLUDE","ok"))</f>
        <v/>
      </c>
      <c r="G960" s="55">
        <f>IF('04_DATA'!A957="","",IF('04_DATA'!D957&lt;PERCENTILE('04_DATA'!$D$2:$D$1001,0.05),"FLAG","ok"))</f>
        <v/>
      </c>
      <c r="H960" s="55">
        <f>IF('04_DATA'!A957="","",IF(OR(C960="EXCLUDE",F960="EXCLUDE"),"Exclude under pre-specified rule",IF(E960&gt;0.15,"Exclude: &gt;15% missing",IF(G960="FLAG","Retain; test in robustness battery","Retain"))))</f>
        <v/>
      </c>
    </row>
    <row r="961">
      <c r="A961" s="55" t="n">
        <v>958</v>
      </c>
      <c r="B961" s="55">
        <f>IF('04_DATA'!A958="","",'04_DATA'!A958)</f>
        <v/>
      </c>
      <c r="C961" s="55">
        <f>IF('04_DATA'!A958="","",IF(AND('04_DATA'!G958=1,'04_DATA'!H958=1,'04_DATA'!I958&gt;=3),"eligible","EXCLUDE"))</f>
        <v/>
      </c>
      <c r="D961" s="55">
        <f>IF('04_DATA'!A958="","",37-COUNT('04_DATA'!$K958:$AU958))</f>
        <v/>
      </c>
      <c r="E961" s="63">
        <f>IF('04_DATA'!A958="","",(37-COUNT('04_DATA'!$K958:$AU958))/37)</f>
        <v/>
      </c>
      <c r="F961" s="55">
        <f>IF('04_DATA'!A958="","",IF(AND(COUNT('04_DATA'!$K958:$AU958)=37,COUNTIF('04_DATA'!$K958:$AU958,INDEX('04_DATA'!$K958:$AU958,1))=37),"EXCLUDE","ok"))</f>
        <v/>
      </c>
      <c r="G961" s="55">
        <f>IF('04_DATA'!A958="","",IF('04_DATA'!D958&lt;PERCENTILE('04_DATA'!$D$2:$D$1001,0.05),"FLAG","ok"))</f>
        <v/>
      </c>
      <c r="H961" s="55">
        <f>IF('04_DATA'!A958="","",IF(OR(C961="EXCLUDE",F961="EXCLUDE"),"Exclude under pre-specified rule",IF(E961&gt;0.15,"Exclude: &gt;15% missing",IF(G961="FLAG","Retain; test in robustness battery","Retain"))))</f>
        <v/>
      </c>
    </row>
    <row r="962">
      <c r="A962" s="55" t="n">
        <v>959</v>
      </c>
      <c r="B962" s="55">
        <f>IF('04_DATA'!A959="","",'04_DATA'!A959)</f>
        <v/>
      </c>
      <c r="C962" s="55">
        <f>IF('04_DATA'!A959="","",IF(AND('04_DATA'!G959=1,'04_DATA'!H959=1,'04_DATA'!I959&gt;=3),"eligible","EXCLUDE"))</f>
        <v/>
      </c>
      <c r="D962" s="55">
        <f>IF('04_DATA'!A959="","",37-COUNT('04_DATA'!$K959:$AU959))</f>
        <v/>
      </c>
      <c r="E962" s="63">
        <f>IF('04_DATA'!A959="","",(37-COUNT('04_DATA'!$K959:$AU959))/37)</f>
        <v/>
      </c>
      <c r="F962" s="55">
        <f>IF('04_DATA'!A959="","",IF(AND(COUNT('04_DATA'!$K959:$AU959)=37,COUNTIF('04_DATA'!$K959:$AU959,INDEX('04_DATA'!$K959:$AU959,1))=37),"EXCLUDE","ok"))</f>
        <v/>
      </c>
      <c r="G962" s="55">
        <f>IF('04_DATA'!A959="","",IF('04_DATA'!D959&lt;PERCENTILE('04_DATA'!$D$2:$D$1001,0.05),"FLAG","ok"))</f>
        <v/>
      </c>
      <c r="H962" s="55">
        <f>IF('04_DATA'!A959="","",IF(OR(C962="EXCLUDE",F962="EXCLUDE"),"Exclude under pre-specified rule",IF(E962&gt;0.15,"Exclude: &gt;15% missing",IF(G962="FLAG","Retain; test in robustness battery","Retain"))))</f>
        <v/>
      </c>
    </row>
    <row r="963">
      <c r="A963" s="55" t="n">
        <v>960</v>
      </c>
      <c r="B963" s="55">
        <f>IF('04_DATA'!A960="","",'04_DATA'!A960)</f>
        <v/>
      </c>
      <c r="C963" s="55">
        <f>IF('04_DATA'!A960="","",IF(AND('04_DATA'!G960=1,'04_DATA'!H960=1,'04_DATA'!I960&gt;=3),"eligible","EXCLUDE"))</f>
        <v/>
      </c>
      <c r="D963" s="55">
        <f>IF('04_DATA'!A960="","",37-COUNT('04_DATA'!$K960:$AU960))</f>
        <v/>
      </c>
      <c r="E963" s="63">
        <f>IF('04_DATA'!A960="","",(37-COUNT('04_DATA'!$K960:$AU960))/37)</f>
        <v/>
      </c>
      <c r="F963" s="55">
        <f>IF('04_DATA'!A960="","",IF(AND(COUNT('04_DATA'!$K960:$AU960)=37,COUNTIF('04_DATA'!$K960:$AU960,INDEX('04_DATA'!$K960:$AU960,1))=37),"EXCLUDE","ok"))</f>
        <v/>
      </c>
      <c r="G963" s="55">
        <f>IF('04_DATA'!A960="","",IF('04_DATA'!D960&lt;PERCENTILE('04_DATA'!$D$2:$D$1001,0.05),"FLAG","ok"))</f>
        <v/>
      </c>
      <c r="H963" s="55">
        <f>IF('04_DATA'!A960="","",IF(OR(C963="EXCLUDE",F963="EXCLUDE"),"Exclude under pre-specified rule",IF(E963&gt;0.15,"Exclude: &gt;15% missing",IF(G963="FLAG","Retain; test in robustness battery","Retain"))))</f>
        <v/>
      </c>
    </row>
    <row r="964">
      <c r="A964" s="55" t="n">
        <v>961</v>
      </c>
      <c r="B964" s="55">
        <f>IF('04_DATA'!A961="","",'04_DATA'!A961)</f>
        <v/>
      </c>
      <c r="C964" s="55">
        <f>IF('04_DATA'!A961="","",IF(AND('04_DATA'!G961=1,'04_DATA'!H961=1,'04_DATA'!I961&gt;=3),"eligible","EXCLUDE"))</f>
        <v/>
      </c>
      <c r="D964" s="55">
        <f>IF('04_DATA'!A961="","",37-COUNT('04_DATA'!$K961:$AU961))</f>
        <v/>
      </c>
      <c r="E964" s="63">
        <f>IF('04_DATA'!A961="","",(37-COUNT('04_DATA'!$K961:$AU961))/37)</f>
        <v/>
      </c>
      <c r="F964" s="55">
        <f>IF('04_DATA'!A961="","",IF(AND(COUNT('04_DATA'!$K961:$AU961)=37,COUNTIF('04_DATA'!$K961:$AU961,INDEX('04_DATA'!$K961:$AU961,1))=37),"EXCLUDE","ok"))</f>
        <v/>
      </c>
      <c r="G964" s="55">
        <f>IF('04_DATA'!A961="","",IF('04_DATA'!D961&lt;PERCENTILE('04_DATA'!$D$2:$D$1001,0.05),"FLAG","ok"))</f>
        <v/>
      </c>
      <c r="H964" s="55">
        <f>IF('04_DATA'!A961="","",IF(OR(C964="EXCLUDE",F964="EXCLUDE"),"Exclude under pre-specified rule",IF(E964&gt;0.15,"Exclude: &gt;15% missing",IF(G964="FLAG","Retain; test in robustness battery","Retain"))))</f>
        <v/>
      </c>
    </row>
    <row r="965">
      <c r="A965" s="55" t="n">
        <v>962</v>
      </c>
      <c r="B965" s="55">
        <f>IF('04_DATA'!A962="","",'04_DATA'!A962)</f>
        <v/>
      </c>
      <c r="C965" s="55">
        <f>IF('04_DATA'!A962="","",IF(AND('04_DATA'!G962=1,'04_DATA'!H962=1,'04_DATA'!I962&gt;=3),"eligible","EXCLUDE"))</f>
        <v/>
      </c>
      <c r="D965" s="55">
        <f>IF('04_DATA'!A962="","",37-COUNT('04_DATA'!$K962:$AU962))</f>
        <v/>
      </c>
      <c r="E965" s="63">
        <f>IF('04_DATA'!A962="","",(37-COUNT('04_DATA'!$K962:$AU962))/37)</f>
        <v/>
      </c>
      <c r="F965" s="55">
        <f>IF('04_DATA'!A962="","",IF(AND(COUNT('04_DATA'!$K962:$AU962)=37,COUNTIF('04_DATA'!$K962:$AU962,INDEX('04_DATA'!$K962:$AU962,1))=37),"EXCLUDE","ok"))</f>
        <v/>
      </c>
      <c r="G965" s="55">
        <f>IF('04_DATA'!A962="","",IF('04_DATA'!D962&lt;PERCENTILE('04_DATA'!$D$2:$D$1001,0.05),"FLAG","ok"))</f>
        <v/>
      </c>
      <c r="H965" s="55">
        <f>IF('04_DATA'!A962="","",IF(OR(C965="EXCLUDE",F965="EXCLUDE"),"Exclude under pre-specified rule",IF(E965&gt;0.15,"Exclude: &gt;15% missing",IF(G965="FLAG","Retain; test in robustness battery","Retain"))))</f>
        <v/>
      </c>
    </row>
    <row r="966">
      <c r="A966" s="55" t="n">
        <v>963</v>
      </c>
      <c r="B966" s="55">
        <f>IF('04_DATA'!A963="","",'04_DATA'!A963)</f>
        <v/>
      </c>
      <c r="C966" s="55">
        <f>IF('04_DATA'!A963="","",IF(AND('04_DATA'!G963=1,'04_DATA'!H963=1,'04_DATA'!I963&gt;=3),"eligible","EXCLUDE"))</f>
        <v/>
      </c>
      <c r="D966" s="55">
        <f>IF('04_DATA'!A963="","",37-COUNT('04_DATA'!$K963:$AU963))</f>
        <v/>
      </c>
      <c r="E966" s="63">
        <f>IF('04_DATA'!A963="","",(37-COUNT('04_DATA'!$K963:$AU963))/37)</f>
        <v/>
      </c>
      <c r="F966" s="55">
        <f>IF('04_DATA'!A963="","",IF(AND(COUNT('04_DATA'!$K963:$AU963)=37,COUNTIF('04_DATA'!$K963:$AU963,INDEX('04_DATA'!$K963:$AU963,1))=37),"EXCLUDE","ok"))</f>
        <v/>
      </c>
      <c r="G966" s="55">
        <f>IF('04_DATA'!A963="","",IF('04_DATA'!D963&lt;PERCENTILE('04_DATA'!$D$2:$D$1001,0.05),"FLAG","ok"))</f>
        <v/>
      </c>
      <c r="H966" s="55">
        <f>IF('04_DATA'!A963="","",IF(OR(C966="EXCLUDE",F966="EXCLUDE"),"Exclude under pre-specified rule",IF(E966&gt;0.15,"Exclude: &gt;15% missing",IF(G966="FLAG","Retain; test in robustness battery","Retain"))))</f>
        <v/>
      </c>
    </row>
    <row r="967">
      <c r="A967" s="55" t="n">
        <v>964</v>
      </c>
      <c r="B967" s="55">
        <f>IF('04_DATA'!A964="","",'04_DATA'!A964)</f>
        <v/>
      </c>
      <c r="C967" s="55">
        <f>IF('04_DATA'!A964="","",IF(AND('04_DATA'!G964=1,'04_DATA'!H964=1,'04_DATA'!I964&gt;=3),"eligible","EXCLUDE"))</f>
        <v/>
      </c>
      <c r="D967" s="55">
        <f>IF('04_DATA'!A964="","",37-COUNT('04_DATA'!$K964:$AU964))</f>
        <v/>
      </c>
      <c r="E967" s="63">
        <f>IF('04_DATA'!A964="","",(37-COUNT('04_DATA'!$K964:$AU964))/37)</f>
        <v/>
      </c>
      <c r="F967" s="55">
        <f>IF('04_DATA'!A964="","",IF(AND(COUNT('04_DATA'!$K964:$AU964)=37,COUNTIF('04_DATA'!$K964:$AU964,INDEX('04_DATA'!$K964:$AU964,1))=37),"EXCLUDE","ok"))</f>
        <v/>
      </c>
      <c r="G967" s="55">
        <f>IF('04_DATA'!A964="","",IF('04_DATA'!D964&lt;PERCENTILE('04_DATA'!$D$2:$D$1001,0.05),"FLAG","ok"))</f>
        <v/>
      </c>
      <c r="H967" s="55">
        <f>IF('04_DATA'!A964="","",IF(OR(C967="EXCLUDE",F967="EXCLUDE"),"Exclude under pre-specified rule",IF(E967&gt;0.15,"Exclude: &gt;15% missing",IF(G967="FLAG","Retain; test in robustness battery","Retain"))))</f>
        <v/>
      </c>
    </row>
    <row r="968">
      <c r="A968" s="55" t="n">
        <v>965</v>
      </c>
      <c r="B968" s="55">
        <f>IF('04_DATA'!A965="","",'04_DATA'!A965)</f>
        <v/>
      </c>
      <c r="C968" s="55">
        <f>IF('04_DATA'!A965="","",IF(AND('04_DATA'!G965=1,'04_DATA'!H965=1,'04_DATA'!I965&gt;=3),"eligible","EXCLUDE"))</f>
        <v/>
      </c>
      <c r="D968" s="55">
        <f>IF('04_DATA'!A965="","",37-COUNT('04_DATA'!$K965:$AU965))</f>
        <v/>
      </c>
      <c r="E968" s="63">
        <f>IF('04_DATA'!A965="","",(37-COUNT('04_DATA'!$K965:$AU965))/37)</f>
        <v/>
      </c>
      <c r="F968" s="55">
        <f>IF('04_DATA'!A965="","",IF(AND(COUNT('04_DATA'!$K965:$AU965)=37,COUNTIF('04_DATA'!$K965:$AU965,INDEX('04_DATA'!$K965:$AU965,1))=37),"EXCLUDE","ok"))</f>
        <v/>
      </c>
      <c r="G968" s="55">
        <f>IF('04_DATA'!A965="","",IF('04_DATA'!D965&lt;PERCENTILE('04_DATA'!$D$2:$D$1001,0.05),"FLAG","ok"))</f>
        <v/>
      </c>
      <c r="H968" s="55">
        <f>IF('04_DATA'!A965="","",IF(OR(C968="EXCLUDE",F968="EXCLUDE"),"Exclude under pre-specified rule",IF(E968&gt;0.15,"Exclude: &gt;15% missing",IF(G968="FLAG","Retain; test in robustness battery","Retain"))))</f>
        <v/>
      </c>
    </row>
    <row r="969">
      <c r="A969" s="55" t="n">
        <v>966</v>
      </c>
      <c r="B969" s="55">
        <f>IF('04_DATA'!A966="","",'04_DATA'!A966)</f>
        <v/>
      </c>
      <c r="C969" s="55">
        <f>IF('04_DATA'!A966="","",IF(AND('04_DATA'!G966=1,'04_DATA'!H966=1,'04_DATA'!I966&gt;=3),"eligible","EXCLUDE"))</f>
        <v/>
      </c>
      <c r="D969" s="55">
        <f>IF('04_DATA'!A966="","",37-COUNT('04_DATA'!$K966:$AU966))</f>
        <v/>
      </c>
      <c r="E969" s="63">
        <f>IF('04_DATA'!A966="","",(37-COUNT('04_DATA'!$K966:$AU966))/37)</f>
        <v/>
      </c>
      <c r="F969" s="55">
        <f>IF('04_DATA'!A966="","",IF(AND(COUNT('04_DATA'!$K966:$AU966)=37,COUNTIF('04_DATA'!$K966:$AU966,INDEX('04_DATA'!$K966:$AU966,1))=37),"EXCLUDE","ok"))</f>
        <v/>
      </c>
      <c r="G969" s="55">
        <f>IF('04_DATA'!A966="","",IF('04_DATA'!D966&lt;PERCENTILE('04_DATA'!$D$2:$D$1001,0.05),"FLAG","ok"))</f>
        <v/>
      </c>
      <c r="H969" s="55">
        <f>IF('04_DATA'!A966="","",IF(OR(C969="EXCLUDE",F969="EXCLUDE"),"Exclude under pre-specified rule",IF(E969&gt;0.15,"Exclude: &gt;15% missing",IF(G969="FLAG","Retain; test in robustness battery","Retain"))))</f>
        <v/>
      </c>
    </row>
    <row r="970">
      <c r="A970" s="55" t="n">
        <v>967</v>
      </c>
      <c r="B970" s="55">
        <f>IF('04_DATA'!A967="","",'04_DATA'!A967)</f>
        <v/>
      </c>
      <c r="C970" s="55">
        <f>IF('04_DATA'!A967="","",IF(AND('04_DATA'!G967=1,'04_DATA'!H967=1,'04_DATA'!I967&gt;=3),"eligible","EXCLUDE"))</f>
        <v/>
      </c>
      <c r="D970" s="55">
        <f>IF('04_DATA'!A967="","",37-COUNT('04_DATA'!$K967:$AU967))</f>
        <v/>
      </c>
      <c r="E970" s="63">
        <f>IF('04_DATA'!A967="","",(37-COUNT('04_DATA'!$K967:$AU967))/37)</f>
        <v/>
      </c>
      <c r="F970" s="55">
        <f>IF('04_DATA'!A967="","",IF(AND(COUNT('04_DATA'!$K967:$AU967)=37,COUNTIF('04_DATA'!$K967:$AU967,INDEX('04_DATA'!$K967:$AU967,1))=37),"EXCLUDE","ok"))</f>
        <v/>
      </c>
      <c r="G970" s="55">
        <f>IF('04_DATA'!A967="","",IF('04_DATA'!D967&lt;PERCENTILE('04_DATA'!$D$2:$D$1001,0.05),"FLAG","ok"))</f>
        <v/>
      </c>
      <c r="H970" s="55">
        <f>IF('04_DATA'!A967="","",IF(OR(C970="EXCLUDE",F970="EXCLUDE"),"Exclude under pre-specified rule",IF(E970&gt;0.15,"Exclude: &gt;15% missing",IF(G970="FLAG","Retain; test in robustness battery","Retain"))))</f>
        <v/>
      </c>
    </row>
    <row r="971">
      <c r="A971" s="55" t="n">
        <v>968</v>
      </c>
      <c r="B971" s="55">
        <f>IF('04_DATA'!A968="","",'04_DATA'!A968)</f>
        <v/>
      </c>
      <c r="C971" s="55">
        <f>IF('04_DATA'!A968="","",IF(AND('04_DATA'!G968=1,'04_DATA'!H968=1,'04_DATA'!I968&gt;=3),"eligible","EXCLUDE"))</f>
        <v/>
      </c>
      <c r="D971" s="55">
        <f>IF('04_DATA'!A968="","",37-COUNT('04_DATA'!$K968:$AU968))</f>
        <v/>
      </c>
      <c r="E971" s="63">
        <f>IF('04_DATA'!A968="","",(37-COUNT('04_DATA'!$K968:$AU968))/37)</f>
        <v/>
      </c>
      <c r="F971" s="55">
        <f>IF('04_DATA'!A968="","",IF(AND(COUNT('04_DATA'!$K968:$AU968)=37,COUNTIF('04_DATA'!$K968:$AU968,INDEX('04_DATA'!$K968:$AU968,1))=37),"EXCLUDE","ok"))</f>
        <v/>
      </c>
      <c r="G971" s="55">
        <f>IF('04_DATA'!A968="","",IF('04_DATA'!D968&lt;PERCENTILE('04_DATA'!$D$2:$D$1001,0.05),"FLAG","ok"))</f>
        <v/>
      </c>
      <c r="H971" s="55">
        <f>IF('04_DATA'!A968="","",IF(OR(C971="EXCLUDE",F971="EXCLUDE"),"Exclude under pre-specified rule",IF(E971&gt;0.15,"Exclude: &gt;15% missing",IF(G971="FLAG","Retain; test in robustness battery","Retain"))))</f>
        <v/>
      </c>
    </row>
    <row r="972">
      <c r="A972" s="55" t="n">
        <v>969</v>
      </c>
      <c r="B972" s="55">
        <f>IF('04_DATA'!A969="","",'04_DATA'!A969)</f>
        <v/>
      </c>
      <c r="C972" s="55">
        <f>IF('04_DATA'!A969="","",IF(AND('04_DATA'!G969=1,'04_DATA'!H969=1,'04_DATA'!I969&gt;=3),"eligible","EXCLUDE"))</f>
        <v/>
      </c>
      <c r="D972" s="55">
        <f>IF('04_DATA'!A969="","",37-COUNT('04_DATA'!$K969:$AU969))</f>
        <v/>
      </c>
      <c r="E972" s="63">
        <f>IF('04_DATA'!A969="","",(37-COUNT('04_DATA'!$K969:$AU969))/37)</f>
        <v/>
      </c>
      <c r="F972" s="55">
        <f>IF('04_DATA'!A969="","",IF(AND(COUNT('04_DATA'!$K969:$AU969)=37,COUNTIF('04_DATA'!$K969:$AU969,INDEX('04_DATA'!$K969:$AU969,1))=37),"EXCLUDE","ok"))</f>
        <v/>
      </c>
      <c r="G972" s="55">
        <f>IF('04_DATA'!A969="","",IF('04_DATA'!D969&lt;PERCENTILE('04_DATA'!$D$2:$D$1001,0.05),"FLAG","ok"))</f>
        <v/>
      </c>
      <c r="H972" s="55">
        <f>IF('04_DATA'!A969="","",IF(OR(C972="EXCLUDE",F972="EXCLUDE"),"Exclude under pre-specified rule",IF(E972&gt;0.15,"Exclude: &gt;15% missing",IF(G972="FLAG","Retain; test in robustness battery","Retain"))))</f>
        <v/>
      </c>
    </row>
    <row r="973">
      <c r="A973" s="55" t="n">
        <v>970</v>
      </c>
      <c r="B973" s="55">
        <f>IF('04_DATA'!A970="","",'04_DATA'!A970)</f>
        <v/>
      </c>
      <c r="C973" s="55">
        <f>IF('04_DATA'!A970="","",IF(AND('04_DATA'!G970=1,'04_DATA'!H970=1,'04_DATA'!I970&gt;=3),"eligible","EXCLUDE"))</f>
        <v/>
      </c>
      <c r="D973" s="55">
        <f>IF('04_DATA'!A970="","",37-COUNT('04_DATA'!$K970:$AU970))</f>
        <v/>
      </c>
      <c r="E973" s="63">
        <f>IF('04_DATA'!A970="","",(37-COUNT('04_DATA'!$K970:$AU970))/37)</f>
        <v/>
      </c>
      <c r="F973" s="55">
        <f>IF('04_DATA'!A970="","",IF(AND(COUNT('04_DATA'!$K970:$AU970)=37,COUNTIF('04_DATA'!$K970:$AU970,INDEX('04_DATA'!$K970:$AU970,1))=37),"EXCLUDE","ok"))</f>
        <v/>
      </c>
      <c r="G973" s="55">
        <f>IF('04_DATA'!A970="","",IF('04_DATA'!D970&lt;PERCENTILE('04_DATA'!$D$2:$D$1001,0.05),"FLAG","ok"))</f>
        <v/>
      </c>
      <c r="H973" s="55">
        <f>IF('04_DATA'!A970="","",IF(OR(C973="EXCLUDE",F973="EXCLUDE"),"Exclude under pre-specified rule",IF(E973&gt;0.15,"Exclude: &gt;15% missing",IF(G973="FLAG","Retain; test in robustness battery","Retain"))))</f>
        <v/>
      </c>
    </row>
    <row r="974">
      <c r="A974" s="55" t="n">
        <v>971</v>
      </c>
      <c r="B974" s="55">
        <f>IF('04_DATA'!A971="","",'04_DATA'!A971)</f>
        <v/>
      </c>
      <c r="C974" s="55">
        <f>IF('04_DATA'!A971="","",IF(AND('04_DATA'!G971=1,'04_DATA'!H971=1,'04_DATA'!I971&gt;=3),"eligible","EXCLUDE"))</f>
        <v/>
      </c>
      <c r="D974" s="55">
        <f>IF('04_DATA'!A971="","",37-COUNT('04_DATA'!$K971:$AU971))</f>
        <v/>
      </c>
      <c r="E974" s="63">
        <f>IF('04_DATA'!A971="","",(37-COUNT('04_DATA'!$K971:$AU971))/37)</f>
        <v/>
      </c>
      <c r="F974" s="55">
        <f>IF('04_DATA'!A971="","",IF(AND(COUNT('04_DATA'!$K971:$AU971)=37,COUNTIF('04_DATA'!$K971:$AU971,INDEX('04_DATA'!$K971:$AU971,1))=37),"EXCLUDE","ok"))</f>
        <v/>
      </c>
      <c r="G974" s="55">
        <f>IF('04_DATA'!A971="","",IF('04_DATA'!D971&lt;PERCENTILE('04_DATA'!$D$2:$D$1001,0.05),"FLAG","ok"))</f>
        <v/>
      </c>
      <c r="H974" s="55">
        <f>IF('04_DATA'!A971="","",IF(OR(C974="EXCLUDE",F974="EXCLUDE"),"Exclude under pre-specified rule",IF(E974&gt;0.15,"Exclude: &gt;15% missing",IF(G974="FLAG","Retain; test in robustness battery","Retain"))))</f>
        <v/>
      </c>
    </row>
    <row r="975">
      <c r="A975" s="55" t="n">
        <v>972</v>
      </c>
      <c r="B975" s="55">
        <f>IF('04_DATA'!A972="","",'04_DATA'!A972)</f>
        <v/>
      </c>
      <c r="C975" s="55">
        <f>IF('04_DATA'!A972="","",IF(AND('04_DATA'!G972=1,'04_DATA'!H972=1,'04_DATA'!I972&gt;=3),"eligible","EXCLUDE"))</f>
        <v/>
      </c>
      <c r="D975" s="55">
        <f>IF('04_DATA'!A972="","",37-COUNT('04_DATA'!$K972:$AU972))</f>
        <v/>
      </c>
      <c r="E975" s="63">
        <f>IF('04_DATA'!A972="","",(37-COUNT('04_DATA'!$K972:$AU972))/37)</f>
        <v/>
      </c>
      <c r="F975" s="55">
        <f>IF('04_DATA'!A972="","",IF(AND(COUNT('04_DATA'!$K972:$AU972)=37,COUNTIF('04_DATA'!$K972:$AU972,INDEX('04_DATA'!$K972:$AU972,1))=37),"EXCLUDE","ok"))</f>
        <v/>
      </c>
      <c r="G975" s="55">
        <f>IF('04_DATA'!A972="","",IF('04_DATA'!D972&lt;PERCENTILE('04_DATA'!$D$2:$D$1001,0.05),"FLAG","ok"))</f>
        <v/>
      </c>
      <c r="H975" s="55">
        <f>IF('04_DATA'!A972="","",IF(OR(C975="EXCLUDE",F975="EXCLUDE"),"Exclude under pre-specified rule",IF(E975&gt;0.15,"Exclude: &gt;15% missing",IF(G975="FLAG","Retain; test in robustness battery","Retain"))))</f>
        <v/>
      </c>
    </row>
    <row r="976">
      <c r="A976" s="55" t="n">
        <v>973</v>
      </c>
      <c r="B976" s="55">
        <f>IF('04_DATA'!A973="","",'04_DATA'!A973)</f>
        <v/>
      </c>
      <c r="C976" s="55">
        <f>IF('04_DATA'!A973="","",IF(AND('04_DATA'!G973=1,'04_DATA'!H973=1,'04_DATA'!I973&gt;=3),"eligible","EXCLUDE"))</f>
        <v/>
      </c>
      <c r="D976" s="55">
        <f>IF('04_DATA'!A973="","",37-COUNT('04_DATA'!$K973:$AU973))</f>
        <v/>
      </c>
      <c r="E976" s="63">
        <f>IF('04_DATA'!A973="","",(37-COUNT('04_DATA'!$K973:$AU973))/37)</f>
        <v/>
      </c>
      <c r="F976" s="55">
        <f>IF('04_DATA'!A973="","",IF(AND(COUNT('04_DATA'!$K973:$AU973)=37,COUNTIF('04_DATA'!$K973:$AU973,INDEX('04_DATA'!$K973:$AU973,1))=37),"EXCLUDE","ok"))</f>
        <v/>
      </c>
      <c r="G976" s="55">
        <f>IF('04_DATA'!A973="","",IF('04_DATA'!D973&lt;PERCENTILE('04_DATA'!$D$2:$D$1001,0.05),"FLAG","ok"))</f>
        <v/>
      </c>
      <c r="H976" s="55">
        <f>IF('04_DATA'!A973="","",IF(OR(C976="EXCLUDE",F976="EXCLUDE"),"Exclude under pre-specified rule",IF(E976&gt;0.15,"Exclude: &gt;15% missing",IF(G976="FLAG","Retain; test in robustness battery","Retain"))))</f>
        <v/>
      </c>
    </row>
    <row r="977">
      <c r="A977" s="55" t="n">
        <v>974</v>
      </c>
      <c r="B977" s="55">
        <f>IF('04_DATA'!A974="","",'04_DATA'!A974)</f>
        <v/>
      </c>
      <c r="C977" s="55">
        <f>IF('04_DATA'!A974="","",IF(AND('04_DATA'!G974=1,'04_DATA'!H974=1,'04_DATA'!I974&gt;=3),"eligible","EXCLUDE"))</f>
        <v/>
      </c>
      <c r="D977" s="55">
        <f>IF('04_DATA'!A974="","",37-COUNT('04_DATA'!$K974:$AU974))</f>
        <v/>
      </c>
      <c r="E977" s="63">
        <f>IF('04_DATA'!A974="","",(37-COUNT('04_DATA'!$K974:$AU974))/37)</f>
        <v/>
      </c>
      <c r="F977" s="55">
        <f>IF('04_DATA'!A974="","",IF(AND(COUNT('04_DATA'!$K974:$AU974)=37,COUNTIF('04_DATA'!$K974:$AU974,INDEX('04_DATA'!$K974:$AU974,1))=37),"EXCLUDE","ok"))</f>
        <v/>
      </c>
      <c r="G977" s="55">
        <f>IF('04_DATA'!A974="","",IF('04_DATA'!D974&lt;PERCENTILE('04_DATA'!$D$2:$D$1001,0.05),"FLAG","ok"))</f>
        <v/>
      </c>
      <c r="H977" s="55">
        <f>IF('04_DATA'!A974="","",IF(OR(C977="EXCLUDE",F977="EXCLUDE"),"Exclude under pre-specified rule",IF(E977&gt;0.15,"Exclude: &gt;15% missing",IF(G977="FLAG","Retain; test in robustness battery","Retain"))))</f>
        <v/>
      </c>
    </row>
    <row r="978">
      <c r="A978" s="55" t="n">
        <v>975</v>
      </c>
      <c r="B978" s="55">
        <f>IF('04_DATA'!A975="","",'04_DATA'!A975)</f>
        <v/>
      </c>
      <c r="C978" s="55">
        <f>IF('04_DATA'!A975="","",IF(AND('04_DATA'!G975=1,'04_DATA'!H975=1,'04_DATA'!I975&gt;=3),"eligible","EXCLUDE"))</f>
        <v/>
      </c>
      <c r="D978" s="55">
        <f>IF('04_DATA'!A975="","",37-COUNT('04_DATA'!$K975:$AU975))</f>
        <v/>
      </c>
      <c r="E978" s="63">
        <f>IF('04_DATA'!A975="","",(37-COUNT('04_DATA'!$K975:$AU975))/37)</f>
        <v/>
      </c>
      <c r="F978" s="55">
        <f>IF('04_DATA'!A975="","",IF(AND(COUNT('04_DATA'!$K975:$AU975)=37,COUNTIF('04_DATA'!$K975:$AU975,INDEX('04_DATA'!$K975:$AU975,1))=37),"EXCLUDE","ok"))</f>
        <v/>
      </c>
      <c r="G978" s="55">
        <f>IF('04_DATA'!A975="","",IF('04_DATA'!D975&lt;PERCENTILE('04_DATA'!$D$2:$D$1001,0.05),"FLAG","ok"))</f>
        <v/>
      </c>
      <c r="H978" s="55">
        <f>IF('04_DATA'!A975="","",IF(OR(C978="EXCLUDE",F978="EXCLUDE"),"Exclude under pre-specified rule",IF(E978&gt;0.15,"Exclude: &gt;15% missing",IF(G978="FLAG","Retain; test in robustness battery","Retain"))))</f>
        <v/>
      </c>
    </row>
    <row r="979">
      <c r="A979" s="55" t="n">
        <v>976</v>
      </c>
      <c r="B979" s="55">
        <f>IF('04_DATA'!A976="","",'04_DATA'!A976)</f>
        <v/>
      </c>
      <c r="C979" s="55">
        <f>IF('04_DATA'!A976="","",IF(AND('04_DATA'!G976=1,'04_DATA'!H976=1,'04_DATA'!I976&gt;=3),"eligible","EXCLUDE"))</f>
        <v/>
      </c>
      <c r="D979" s="55">
        <f>IF('04_DATA'!A976="","",37-COUNT('04_DATA'!$K976:$AU976))</f>
        <v/>
      </c>
      <c r="E979" s="63">
        <f>IF('04_DATA'!A976="","",(37-COUNT('04_DATA'!$K976:$AU976))/37)</f>
        <v/>
      </c>
      <c r="F979" s="55">
        <f>IF('04_DATA'!A976="","",IF(AND(COUNT('04_DATA'!$K976:$AU976)=37,COUNTIF('04_DATA'!$K976:$AU976,INDEX('04_DATA'!$K976:$AU976,1))=37),"EXCLUDE","ok"))</f>
        <v/>
      </c>
      <c r="G979" s="55">
        <f>IF('04_DATA'!A976="","",IF('04_DATA'!D976&lt;PERCENTILE('04_DATA'!$D$2:$D$1001,0.05),"FLAG","ok"))</f>
        <v/>
      </c>
      <c r="H979" s="55">
        <f>IF('04_DATA'!A976="","",IF(OR(C979="EXCLUDE",F979="EXCLUDE"),"Exclude under pre-specified rule",IF(E979&gt;0.15,"Exclude: &gt;15% missing",IF(G979="FLAG","Retain; test in robustness battery","Retain"))))</f>
        <v/>
      </c>
    </row>
    <row r="980">
      <c r="A980" s="55" t="n">
        <v>977</v>
      </c>
      <c r="B980" s="55">
        <f>IF('04_DATA'!A977="","",'04_DATA'!A977)</f>
        <v/>
      </c>
      <c r="C980" s="55">
        <f>IF('04_DATA'!A977="","",IF(AND('04_DATA'!G977=1,'04_DATA'!H977=1,'04_DATA'!I977&gt;=3),"eligible","EXCLUDE"))</f>
        <v/>
      </c>
      <c r="D980" s="55">
        <f>IF('04_DATA'!A977="","",37-COUNT('04_DATA'!$K977:$AU977))</f>
        <v/>
      </c>
      <c r="E980" s="63">
        <f>IF('04_DATA'!A977="","",(37-COUNT('04_DATA'!$K977:$AU977))/37)</f>
        <v/>
      </c>
      <c r="F980" s="55">
        <f>IF('04_DATA'!A977="","",IF(AND(COUNT('04_DATA'!$K977:$AU977)=37,COUNTIF('04_DATA'!$K977:$AU977,INDEX('04_DATA'!$K977:$AU977,1))=37),"EXCLUDE","ok"))</f>
        <v/>
      </c>
      <c r="G980" s="55">
        <f>IF('04_DATA'!A977="","",IF('04_DATA'!D977&lt;PERCENTILE('04_DATA'!$D$2:$D$1001,0.05),"FLAG","ok"))</f>
        <v/>
      </c>
      <c r="H980" s="55">
        <f>IF('04_DATA'!A977="","",IF(OR(C980="EXCLUDE",F980="EXCLUDE"),"Exclude under pre-specified rule",IF(E980&gt;0.15,"Exclude: &gt;15% missing",IF(G980="FLAG","Retain; test in robustness battery","Retain"))))</f>
        <v/>
      </c>
    </row>
    <row r="981">
      <c r="A981" s="55" t="n">
        <v>978</v>
      </c>
      <c r="B981" s="55">
        <f>IF('04_DATA'!A978="","",'04_DATA'!A978)</f>
        <v/>
      </c>
      <c r="C981" s="55">
        <f>IF('04_DATA'!A978="","",IF(AND('04_DATA'!G978=1,'04_DATA'!H978=1,'04_DATA'!I978&gt;=3),"eligible","EXCLUDE"))</f>
        <v/>
      </c>
      <c r="D981" s="55">
        <f>IF('04_DATA'!A978="","",37-COUNT('04_DATA'!$K978:$AU978))</f>
        <v/>
      </c>
      <c r="E981" s="63">
        <f>IF('04_DATA'!A978="","",(37-COUNT('04_DATA'!$K978:$AU978))/37)</f>
        <v/>
      </c>
      <c r="F981" s="55">
        <f>IF('04_DATA'!A978="","",IF(AND(COUNT('04_DATA'!$K978:$AU978)=37,COUNTIF('04_DATA'!$K978:$AU978,INDEX('04_DATA'!$K978:$AU978,1))=37),"EXCLUDE","ok"))</f>
        <v/>
      </c>
      <c r="G981" s="55">
        <f>IF('04_DATA'!A978="","",IF('04_DATA'!D978&lt;PERCENTILE('04_DATA'!$D$2:$D$1001,0.05),"FLAG","ok"))</f>
        <v/>
      </c>
      <c r="H981" s="55">
        <f>IF('04_DATA'!A978="","",IF(OR(C981="EXCLUDE",F981="EXCLUDE"),"Exclude under pre-specified rule",IF(E981&gt;0.15,"Exclude: &gt;15% missing",IF(G981="FLAG","Retain; test in robustness battery","Retain"))))</f>
        <v/>
      </c>
    </row>
    <row r="982">
      <c r="A982" s="55" t="n">
        <v>979</v>
      </c>
      <c r="B982" s="55">
        <f>IF('04_DATA'!A979="","",'04_DATA'!A979)</f>
        <v/>
      </c>
      <c r="C982" s="55">
        <f>IF('04_DATA'!A979="","",IF(AND('04_DATA'!G979=1,'04_DATA'!H979=1,'04_DATA'!I979&gt;=3),"eligible","EXCLUDE"))</f>
        <v/>
      </c>
      <c r="D982" s="55">
        <f>IF('04_DATA'!A979="","",37-COUNT('04_DATA'!$K979:$AU979))</f>
        <v/>
      </c>
      <c r="E982" s="63">
        <f>IF('04_DATA'!A979="","",(37-COUNT('04_DATA'!$K979:$AU979))/37)</f>
        <v/>
      </c>
      <c r="F982" s="55">
        <f>IF('04_DATA'!A979="","",IF(AND(COUNT('04_DATA'!$K979:$AU979)=37,COUNTIF('04_DATA'!$K979:$AU979,INDEX('04_DATA'!$K979:$AU979,1))=37),"EXCLUDE","ok"))</f>
        <v/>
      </c>
      <c r="G982" s="55">
        <f>IF('04_DATA'!A979="","",IF('04_DATA'!D979&lt;PERCENTILE('04_DATA'!$D$2:$D$1001,0.05),"FLAG","ok"))</f>
        <v/>
      </c>
      <c r="H982" s="55">
        <f>IF('04_DATA'!A979="","",IF(OR(C982="EXCLUDE",F982="EXCLUDE"),"Exclude under pre-specified rule",IF(E982&gt;0.15,"Exclude: &gt;15% missing",IF(G982="FLAG","Retain; test in robustness battery","Retain"))))</f>
        <v/>
      </c>
    </row>
    <row r="983">
      <c r="A983" s="55" t="n">
        <v>980</v>
      </c>
      <c r="B983" s="55">
        <f>IF('04_DATA'!A980="","",'04_DATA'!A980)</f>
        <v/>
      </c>
      <c r="C983" s="55">
        <f>IF('04_DATA'!A980="","",IF(AND('04_DATA'!G980=1,'04_DATA'!H980=1,'04_DATA'!I980&gt;=3),"eligible","EXCLUDE"))</f>
        <v/>
      </c>
      <c r="D983" s="55">
        <f>IF('04_DATA'!A980="","",37-COUNT('04_DATA'!$K980:$AU980))</f>
        <v/>
      </c>
      <c r="E983" s="63">
        <f>IF('04_DATA'!A980="","",(37-COUNT('04_DATA'!$K980:$AU980))/37)</f>
        <v/>
      </c>
      <c r="F983" s="55">
        <f>IF('04_DATA'!A980="","",IF(AND(COUNT('04_DATA'!$K980:$AU980)=37,COUNTIF('04_DATA'!$K980:$AU980,INDEX('04_DATA'!$K980:$AU980,1))=37),"EXCLUDE","ok"))</f>
        <v/>
      </c>
      <c r="G983" s="55">
        <f>IF('04_DATA'!A980="","",IF('04_DATA'!D980&lt;PERCENTILE('04_DATA'!$D$2:$D$1001,0.05),"FLAG","ok"))</f>
        <v/>
      </c>
      <c r="H983" s="55">
        <f>IF('04_DATA'!A980="","",IF(OR(C983="EXCLUDE",F983="EXCLUDE"),"Exclude under pre-specified rule",IF(E983&gt;0.15,"Exclude: &gt;15% missing",IF(G983="FLAG","Retain; test in robustness battery","Retain"))))</f>
        <v/>
      </c>
    </row>
    <row r="984">
      <c r="A984" s="55" t="n">
        <v>981</v>
      </c>
      <c r="B984" s="55">
        <f>IF('04_DATA'!A981="","",'04_DATA'!A981)</f>
        <v/>
      </c>
      <c r="C984" s="55">
        <f>IF('04_DATA'!A981="","",IF(AND('04_DATA'!G981=1,'04_DATA'!H981=1,'04_DATA'!I981&gt;=3),"eligible","EXCLUDE"))</f>
        <v/>
      </c>
      <c r="D984" s="55">
        <f>IF('04_DATA'!A981="","",37-COUNT('04_DATA'!$K981:$AU981))</f>
        <v/>
      </c>
      <c r="E984" s="63">
        <f>IF('04_DATA'!A981="","",(37-COUNT('04_DATA'!$K981:$AU981))/37)</f>
        <v/>
      </c>
      <c r="F984" s="55">
        <f>IF('04_DATA'!A981="","",IF(AND(COUNT('04_DATA'!$K981:$AU981)=37,COUNTIF('04_DATA'!$K981:$AU981,INDEX('04_DATA'!$K981:$AU981,1))=37),"EXCLUDE","ok"))</f>
        <v/>
      </c>
      <c r="G984" s="55">
        <f>IF('04_DATA'!A981="","",IF('04_DATA'!D981&lt;PERCENTILE('04_DATA'!$D$2:$D$1001,0.05),"FLAG","ok"))</f>
        <v/>
      </c>
      <c r="H984" s="55">
        <f>IF('04_DATA'!A981="","",IF(OR(C984="EXCLUDE",F984="EXCLUDE"),"Exclude under pre-specified rule",IF(E984&gt;0.15,"Exclude: &gt;15% missing",IF(G984="FLAG","Retain; test in robustness battery","Retain"))))</f>
        <v/>
      </c>
    </row>
    <row r="985">
      <c r="A985" s="55" t="n">
        <v>982</v>
      </c>
      <c r="B985" s="55">
        <f>IF('04_DATA'!A982="","",'04_DATA'!A982)</f>
        <v/>
      </c>
      <c r="C985" s="55">
        <f>IF('04_DATA'!A982="","",IF(AND('04_DATA'!G982=1,'04_DATA'!H982=1,'04_DATA'!I982&gt;=3),"eligible","EXCLUDE"))</f>
        <v/>
      </c>
      <c r="D985" s="55">
        <f>IF('04_DATA'!A982="","",37-COUNT('04_DATA'!$K982:$AU982))</f>
        <v/>
      </c>
      <c r="E985" s="63">
        <f>IF('04_DATA'!A982="","",(37-COUNT('04_DATA'!$K982:$AU982))/37)</f>
        <v/>
      </c>
      <c r="F985" s="55">
        <f>IF('04_DATA'!A982="","",IF(AND(COUNT('04_DATA'!$K982:$AU982)=37,COUNTIF('04_DATA'!$K982:$AU982,INDEX('04_DATA'!$K982:$AU982,1))=37),"EXCLUDE","ok"))</f>
        <v/>
      </c>
      <c r="G985" s="55">
        <f>IF('04_DATA'!A982="","",IF('04_DATA'!D982&lt;PERCENTILE('04_DATA'!$D$2:$D$1001,0.05),"FLAG","ok"))</f>
        <v/>
      </c>
      <c r="H985" s="55">
        <f>IF('04_DATA'!A982="","",IF(OR(C985="EXCLUDE",F985="EXCLUDE"),"Exclude under pre-specified rule",IF(E985&gt;0.15,"Exclude: &gt;15% missing",IF(G985="FLAG","Retain; test in robustness battery","Retain"))))</f>
        <v/>
      </c>
    </row>
    <row r="986">
      <c r="A986" s="55" t="n">
        <v>983</v>
      </c>
      <c r="B986" s="55">
        <f>IF('04_DATA'!A983="","",'04_DATA'!A983)</f>
        <v/>
      </c>
      <c r="C986" s="55">
        <f>IF('04_DATA'!A983="","",IF(AND('04_DATA'!G983=1,'04_DATA'!H983=1,'04_DATA'!I983&gt;=3),"eligible","EXCLUDE"))</f>
        <v/>
      </c>
      <c r="D986" s="55">
        <f>IF('04_DATA'!A983="","",37-COUNT('04_DATA'!$K983:$AU983))</f>
        <v/>
      </c>
      <c r="E986" s="63">
        <f>IF('04_DATA'!A983="","",(37-COUNT('04_DATA'!$K983:$AU983))/37)</f>
        <v/>
      </c>
      <c r="F986" s="55">
        <f>IF('04_DATA'!A983="","",IF(AND(COUNT('04_DATA'!$K983:$AU983)=37,COUNTIF('04_DATA'!$K983:$AU983,INDEX('04_DATA'!$K983:$AU983,1))=37),"EXCLUDE","ok"))</f>
        <v/>
      </c>
      <c r="G986" s="55">
        <f>IF('04_DATA'!A983="","",IF('04_DATA'!D983&lt;PERCENTILE('04_DATA'!$D$2:$D$1001,0.05),"FLAG","ok"))</f>
        <v/>
      </c>
      <c r="H986" s="55">
        <f>IF('04_DATA'!A983="","",IF(OR(C986="EXCLUDE",F986="EXCLUDE"),"Exclude under pre-specified rule",IF(E986&gt;0.15,"Exclude: &gt;15% missing",IF(G986="FLAG","Retain; test in robustness battery","Retain"))))</f>
        <v/>
      </c>
    </row>
    <row r="987">
      <c r="A987" s="55" t="n">
        <v>984</v>
      </c>
      <c r="B987" s="55">
        <f>IF('04_DATA'!A984="","",'04_DATA'!A984)</f>
        <v/>
      </c>
      <c r="C987" s="55">
        <f>IF('04_DATA'!A984="","",IF(AND('04_DATA'!G984=1,'04_DATA'!H984=1,'04_DATA'!I984&gt;=3),"eligible","EXCLUDE"))</f>
        <v/>
      </c>
      <c r="D987" s="55">
        <f>IF('04_DATA'!A984="","",37-COUNT('04_DATA'!$K984:$AU984))</f>
        <v/>
      </c>
      <c r="E987" s="63">
        <f>IF('04_DATA'!A984="","",(37-COUNT('04_DATA'!$K984:$AU984))/37)</f>
        <v/>
      </c>
      <c r="F987" s="55">
        <f>IF('04_DATA'!A984="","",IF(AND(COUNT('04_DATA'!$K984:$AU984)=37,COUNTIF('04_DATA'!$K984:$AU984,INDEX('04_DATA'!$K984:$AU984,1))=37),"EXCLUDE","ok"))</f>
        <v/>
      </c>
      <c r="G987" s="55">
        <f>IF('04_DATA'!A984="","",IF('04_DATA'!D984&lt;PERCENTILE('04_DATA'!$D$2:$D$1001,0.05),"FLAG","ok"))</f>
        <v/>
      </c>
      <c r="H987" s="55">
        <f>IF('04_DATA'!A984="","",IF(OR(C987="EXCLUDE",F987="EXCLUDE"),"Exclude under pre-specified rule",IF(E987&gt;0.15,"Exclude: &gt;15% missing",IF(G987="FLAG","Retain; test in robustness battery","Retain"))))</f>
        <v/>
      </c>
    </row>
    <row r="988">
      <c r="A988" s="55" t="n">
        <v>985</v>
      </c>
      <c r="B988" s="55">
        <f>IF('04_DATA'!A985="","",'04_DATA'!A985)</f>
        <v/>
      </c>
      <c r="C988" s="55">
        <f>IF('04_DATA'!A985="","",IF(AND('04_DATA'!G985=1,'04_DATA'!H985=1,'04_DATA'!I985&gt;=3),"eligible","EXCLUDE"))</f>
        <v/>
      </c>
      <c r="D988" s="55">
        <f>IF('04_DATA'!A985="","",37-COUNT('04_DATA'!$K985:$AU985))</f>
        <v/>
      </c>
      <c r="E988" s="63">
        <f>IF('04_DATA'!A985="","",(37-COUNT('04_DATA'!$K985:$AU985))/37)</f>
        <v/>
      </c>
      <c r="F988" s="55">
        <f>IF('04_DATA'!A985="","",IF(AND(COUNT('04_DATA'!$K985:$AU985)=37,COUNTIF('04_DATA'!$K985:$AU985,INDEX('04_DATA'!$K985:$AU985,1))=37),"EXCLUDE","ok"))</f>
        <v/>
      </c>
      <c r="G988" s="55">
        <f>IF('04_DATA'!A985="","",IF('04_DATA'!D985&lt;PERCENTILE('04_DATA'!$D$2:$D$1001,0.05),"FLAG","ok"))</f>
        <v/>
      </c>
      <c r="H988" s="55">
        <f>IF('04_DATA'!A985="","",IF(OR(C988="EXCLUDE",F988="EXCLUDE"),"Exclude under pre-specified rule",IF(E988&gt;0.15,"Exclude: &gt;15% missing",IF(G988="FLAG","Retain; test in robustness battery","Retain"))))</f>
        <v/>
      </c>
    </row>
    <row r="989">
      <c r="A989" s="55" t="n">
        <v>986</v>
      </c>
      <c r="B989" s="55">
        <f>IF('04_DATA'!A986="","",'04_DATA'!A986)</f>
        <v/>
      </c>
      <c r="C989" s="55">
        <f>IF('04_DATA'!A986="","",IF(AND('04_DATA'!G986=1,'04_DATA'!H986=1,'04_DATA'!I986&gt;=3),"eligible","EXCLUDE"))</f>
        <v/>
      </c>
      <c r="D989" s="55">
        <f>IF('04_DATA'!A986="","",37-COUNT('04_DATA'!$K986:$AU986))</f>
        <v/>
      </c>
      <c r="E989" s="63">
        <f>IF('04_DATA'!A986="","",(37-COUNT('04_DATA'!$K986:$AU986))/37)</f>
        <v/>
      </c>
      <c r="F989" s="55">
        <f>IF('04_DATA'!A986="","",IF(AND(COUNT('04_DATA'!$K986:$AU986)=37,COUNTIF('04_DATA'!$K986:$AU986,INDEX('04_DATA'!$K986:$AU986,1))=37),"EXCLUDE","ok"))</f>
        <v/>
      </c>
      <c r="G989" s="55">
        <f>IF('04_DATA'!A986="","",IF('04_DATA'!D986&lt;PERCENTILE('04_DATA'!$D$2:$D$1001,0.05),"FLAG","ok"))</f>
        <v/>
      </c>
      <c r="H989" s="55">
        <f>IF('04_DATA'!A986="","",IF(OR(C989="EXCLUDE",F989="EXCLUDE"),"Exclude under pre-specified rule",IF(E989&gt;0.15,"Exclude: &gt;15% missing",IF(G989="FLAG","Retain; test in robustness battery","Retain"))))</f>
        <v/>
      </c>
    </row>
    <row r="990">
      <c r="A990" s="55" t="n">
        <v>987</v>
      </c>
      <c r="B990" s="55">
        <f>IF('04_DATA'!A987="","",'04_DATA'!A987)</f>
        <v/>
      </c>
      <c r="C990" s="55">
        <f>IF('04_DATA'!A987="","",IF(AND('04_DATA'!G987=1,'04_DATA'!H987=1,'04_DATA'!I987&gt;=3),"eligible","EXCLUDE"))</f>
        <v/>
      </c>
      <c r="D990" s="55">
        <f>IF('04_DATA'!A987="","",37-COUNT('04_DATA'!$K987:$AU987))</f>
        <v/>
      </c>
      <c r="E990" s="63">
        <f>IF('04_DATA'!A987="","",(37-COUNT('04_DATA'!$K987:$AU987))/37)</f>
        <v/>
      </c>
      <c r="F990" s="55">
        <f>IF('04_DATA'!A987="","",IF(AND(COUNT('04_DATA'!$K987:$AU987)=37,COUNTIF('04_DATA'!$K987:$AU987,INDEX('04_DATA'!$K987:$AU987,1))=37),"EXCLUDE","ok"))</f>
        <v/>
      </c>
      <c r="G990" s="55">
        <f>IF('04_DATA'!A987="","",IF('04_DATA'!D987&lt;PERCENTILE('04_DATA'!$D$2:$D$1001,0.05),"FLAG","ok"))</f>
        <v/>
      </c>
      <c r="H990" s="55">
        <f>IF('04_DATA'!A987="","",IF(OR(C990="EXCLUDE",F990="EXCLUDE"),"Exclude under pre-specified rule",IF(E990&gt;0.15,"Exclude: &gt;15% missing",IF(G990="FLAG","Retain; test in robustness battery","Retain"))))</f>
        <v/>
      </c>
    </row>
    <row r="991">
      <c r="A991" s="55" t="n">
        <v>988</v>
      </c>
      <c r="B991" s="55">
        <f>IF('04_DATA'!A988="","",'04_DATA'!A988)</f>
        <v/>
      </c>
      <c r="C991" s="55">
        <f>IF('04_DATA'!A988="","",IF(AND('04_DATA'!G988=1,'04_DATA'!H988=1,'04_DATA'!I988&gt;=3),"eligible","EXCLUDE"))</f>
        <v/>
      </c>
      <c r="D991" s="55">
        <f>IF('04_DATA'!A988="","",37-COUNT('04_DATA'!$K988:$AU988))</f>
        <v/>
      </c>
      <c r="E991" s="63">
        <f>IF('04_DATA'!A988="","",(37-COUNT('04_DATA'!$K988:$AU988))/37)</f>
        <v/>
      </c>
      <c r="F991" s="55">
        <f>IF('04_DATA'!A988="","",IF(AND(COUNT('04_DATA'!$K988:$AU988)=37,COUNTIF('04_DATA'!$K988:$AU988,INDEX('04_DATA'!$K988:$AU988,1))=37),"EXCLUDE","ok"))</f>
        <v/>
      </c>
      <c r="G991" s="55">
        <f>IF('04_DATA'!A988="","",IF('04_DATA'!D988&lt;PERCENTILE('04_DATA'!$D$2:$D$1001,0.05),"FLAG","ok"))</f>
        <v/>
      </c>
      <c r="H991" s="55">
        <f>IF('04_DATA'!A988="","",IF(OR(C991="EXCLUDE",F991="EXCLUDE"),"Exclude under pre-specified rule",IF(E991&gt;0.15,"Exclude: &gt;15% missing",IF(G991="FLAG","Retain; test in robustness battery","Retain"))))</f>
        <v/>
      </c>
    </row>
    <row r="992">
      <c r="A992" s="55" t="n">
        <v>989</v>
      </c>
      <c r="B992" s="55">
        <f>IF('04_DATA'!A989="","",'04_DATA'!A989)</f>
        <v/>
      </c>
      <c r="C992" s="55">
        <f>IF('04_DATA'!A989="","",IF(AND('04_DATA'!G989=1,'04_DATA'!H989=1,'04_DATA'!I989&gt;=3),"eligible","EXCLUDE"))</f>
        <v/>
      </c>
      <c r="D992" s="55">
        <f>IF('04_DATA'!A989="","",37-COUNT('04_DATA'!$K989:$AU989))</f>
        <v/>
      </c>
      <c r="E992" s="63">
        <f>IF('04_DATA'!A989="","",(37-COUNT('04_DATA'!$K989:$AU989))/37)</f>
        <v/>
      </c>
      <c r="F992" s="55">
        <f>IF('04_DATA'!A989="","",IF(AND(COUNT('04_DATA'!$K989:$AU989)=37,COUNTIF('04_DATA'!$K989:$AU989,INDEX('04_DATA'!$K989:$AU989,1))=37),"EXCLUDE","ok"))</f>
        <v/>
      </c>
      <c r="G992" s="55">
        <f>IF('04_DATA'!A989="","",IF('04_DATA'!D989&lt;PERCENTILE('04_DATA'!$D$2:$D$1001,0.05),"FLAG","ok"))</f>
        <v/>
      </c>
      <c r="H992" s="55">
        <f>IF('04_DATA'!A989="","",IF(OR(C992="EXCLUDE",F992="EXCLUDE"),"Exclude under pre-specified rule",IF(E992&gt;0.15,"Exclude: &gt;15% missing",IF(G992="FLAG","Retain; test in robustness battery","Retain"))))</f>
        <v/>
      </c>
    </row>
    <row r="993">
      <c r="A993" s="55" t="n">
        <v>990</v>
      </c>
      <c r="B993" s="55">
        <f>IF('04_DATA'!A990="","",'04_DATA'!A990)</f>
        <v/>
      </c>
      <c r="C993" s="55">
        <f>IF('04_DATA'!A990="","",IF(AND('04_DATA'!G990=1,'04_DATA'!H990=1,'04_DATA'!I990&gt;=3),"eligible","EXCLUDE"))</f>
        <v/>
      </c>
      <c r="D993" s="55">
        <f>IF('04_DATA'!A990="","",37-COUNT('04_DATA'!$K990:$AU990))</f>
        <v/>
      </c>
      <c r="E993" s="63">
        <f>IF('04_DATA'!A990="","",(37-COUNT('04_DATA'!$K990:$AU990))/37)</f>
        <v/>
      </c>
      <c r="F993" s="55">
        <f>IF('04_DATA'!A990="","",IF(AND(COUNT('04_DATA'!$K990:$AU990)=37,COUNTIF('04_DATA'!$K990:$AU990,INDEX('04_DATA'!$K990:$AU990,1))=37),"EXCLUDE","ok"))</f>
        <v/>
      </c>
      <c r="G993" s="55">
        <f>IF('04_DATA'!A990="","",IF('04_DATA'!D990&lt;PERCENTILE('04_DATA'!$D$2:$D$1001,0.05),"FLAG","ok"))</f>
        <v/>
      </c>
      <c r="H993" s="55">
        <f>IF('04_DATA'!A990="","",IF(OR(C993="EXCLUDE",F993="EXCLUDE"),"Exclude under pre-specified rule",IF(E993&gt;0.15,"Exclude: &gt;15% missing",IF(G993="FLAG","Retain; test in robustness battery","Retain"))))</f>
        <v/>
      </c>
    </row>
    <row r="994">
      <c r="A994" s="55" t="n">
        <v>991</v>
      </c>
      <c r="B994" s="55">
        <f>IF('04_DATA'!A991="","",'04_DATA'!A991)</f>
        <v/>
      </c>
      <c r="C994" s="55">
        <f>IF('04_DATA'!A991="","",IF(AND('04_DATA'!G991=1,'04_DATA'!H991=1,'04_DATA'!I991&gt;=3),"eligible","EXCLUDE"))</f>
        <v/>
      </c>
      <c r="D994" s="55">
        <f>IF('04_DATA'!A991="","",37-COUNT('04_DATA'!$K991:$AU991))</f>
        <v/>
      </c>
      <c r="E994" s="63">
        <f>IF('04_DATA'!A991="","",(37-COUNT('04_DATA'!$K991:$AU991))/37)</f>
        <v/>
      </c>
      <c r="F994" s="55">
        <f>IF('04_DATA'!A991="","",IF(AND(COUNT('04_DATA'!$K991:$AU991)=37,COUNTIF('04_DATA'!$K991:$AU991,INDEX('04_DATA'!$K991:$AU991,1))=37),"EXCLUDE","ok"))</f>
        <v/>
      </c>
      <c r="G994" s="55">
        <f>IF('04_DATA'!A991="","",IF('04_DATA'!D991&lt;PERCENTILE('04_DATA'!$D$2:$D$1001,0.05),"FLAG","ok"))</f>
        <v/>
      </c>
      <c r="H994" s="55">
        <f>IF('04_DATA'!A991="","",IF(OR(C994="EXCLUDE",F994="EXCLUDE"),"Exclude under pre-specified rule",IF(E994&gt;0.15,"Exclude: &gt;15% missing",IF(G994="FLAG","Retain; test in robustness battery","Retain"))))</f>
        <v/>
      </c>
    </row>
    <row r="995">
      <c r="A995" s="55" t="n">
        <v>992</v>
      </c>
      <c r="B995" s="55">
        <f>IF('04_DATA'!A992="","",'04_DATA'!A992)</f>
        <v/>
      </c>
      <c r="C995" s="55">
        <f>IF('04_DATA'!A992="","",IF(AND('04_DATA'!G992=1,'04_DATA'!H992=1,'04_DATA'!I992&gt;=3),"eligible","EXCLUDE"))</f>
        <v/>
      </c>
      <c r="D995" s="55">
        <f>IF('04_DATA'!A992="","",37-COUNT('04_DATA'!$K992:$AU992))</f>
        <v/>
      </c>
      <c r="E995" s="63">
        <f>IF('04_DATA'!A992="","",(37-COUNT('04_DATA'!$K992:$AU992))/37)</f>
        <v/>
      </c>
      <c r="F995" s="55">
        <f>IF('04_DATA'!A992="","",IF(AND(COUNT('04_DATA'!$K992:$AU992)=37,COUNTIF('04_DATA'!$K992:$AU992,INDEX('04_DATA'!$K992:$AU992,1))=37),"EXCLUDE","ok"))</f>
        <v/>
      </c>
      <c r="G995" s="55">
        <f>IF('04_DATA'!A992="","",IF('04_DATA'!D992&lt;PERCENTILE('04_DATA'!$D$2:$D$1001,0.05),"FLAG","ok"))</f>
        <v/>
      </c>
      <c r="H995" s="55">
        <f>IF('04_DATA'!A992="","",IF(OR(C995="EXCLUDE",F995="EXCLUDE"),"Exclude under pre-specified rule",IF(E995&gt;0.15,"Exclude: &gt;15% missing",IF(G995="FLAG","Retain; test in robustness battery","Retain"))))</f>
        <v/>
      </c>
    </row>
    <row r="996">
      <c r="A996" s="55" t="n">
        <v>993</v>
      </c>
      <c r="B996" s="55">
        <f>IF('04_DATA'!A993="","",'04_DATA'!A993)</f>
        <v/>
      </c>
      <c r="C996" s="55">
        <f>IF('04_DATA'!A993="","",IF(AND('04_DATA'!G993=1,'04_DATA'!H993=1,'04_DATA'!I993&gt;=3),"eligible","EXCLUDE"))</f>
        <v/>
      </c>
      <c r="D996" s="55">
        <f>IF('04_DATA'!A993="","",37-COUNT('04_DATA'!$K993:$AU993))</f>
        <v/>
      </c>
      <c r="E996" s="63">
        <f>IF('04_DATA'!A993="","",(37-COUNT('04_DATA'!$K993:$AU993))/37)</f>
        <v/>
      </c>
      <c r="F996" s="55">
        <f>IF('04_DATA'!A993="","",IF(AND(COUNT('04_DATA'!$K993:$AU993)=37,COUNTIF('04_DATA'!$K993:$AU993,INDEX('04_DATA'!$K993:$AU993,1))=37),"EXCLUDE","ok"))</f>
        <v/>
      </c>
      <c r="G996" s="55">
        <f>IF('04_DATA'!A993="","",IF('04_DATA'!D993&lt;PERCENTILE('04_DATA'!$D$2:$D$1001,0.05),"FLAG","ok"))</f>
        <v/>
      </c>
      <c r="H996" s="55">
        <f>IF('04_DATA'!A993="","",IF(OR(C996="EXCLUDE",F996="EXCLUDE"),"Exclude under pre-specified rule",IF(E996&gt;0.15,"Exclude: &gt;15% missing",IF(G996="FLAG","Retain; test in robustness battery","Retain"))))</f>
        <v/>
      </c>
    </row>
    <row r="997">
      <c r="A997" s="55" t="n">
        <v>994</v>
      </c>
      <c r="B997" s="55">
        <f>IF('04_DATA'!A994="","",'04_DATA'!A994)</f>
        <v/>
      </c>
      <c r="C997" s="55">
        <f>IF('04_DATA'!A994="","",IF(AND('04_DATA'!G994=1,'04_DATA'!H994=1,'04_DATA'!I994&gt;=3),"eligible","EXCLUDE"))</f>
        <v/>
      </c>
      <c r="D997" s="55">
        <f>IF('04_DATA'!A994="","",37-COUNT('04_DATA'!$K994:$AU994))</f>
        <v/>
      </c>
      <c r="E997" s="63">
        <f>IF('04_DATA'!A994="","",(37-COUNT('04_DATA'!$K994:$AU994))/37)</f>
        <v/>
      </c>
      <c r="F997" s="55">
        <f>IF('04_DATA'!A994="","",IF(AND(COUNT('04_DATA'!$K994:$AU994)=37,COUNTIF('04_DATA'!$K994:$AU994,INDEX('04_DATA'!$K994:$AU994,1))=37),"EXCLUDE","ok"))</f>
        <v/>
      </c>
      <c r="G997" s="55">
        <f>IF('04_DATA'!A994="","",IF('04_DATA'!D994&lt;PERCENTILE('04_DATA'!$D$2:$D$1001,0.05),"FLAG","ok"))</f>
        <v/>
      </c>
      <c r="H997" s="55">
        <f>IF('04_DATA'!A994="","",IF(OR(C997="EXCLUDE",F997="EXCLUDE"),"Exclude under pre-specified rule",IF(E997&gt;0.15,"Exclude: &gt;15% missing",IF(G997="FLAG","Retain; test in robustness battery","Retain"))))</f>
        <v/>
      </c>
    </row>
    <row r="998">
      <c r="A998" s="55" t="n">
        <v>995</v>
      </c>
      <c r="B998" s="55">
        <f>IF('04_DATA'!A995="","",'04_DATA'!A995)</f>
        <v/>
      </c>
      <c r="C998" s="55">
        <f>IF('04_DATA'!A995="","",IF(AND('04_DATA'!G995=1,'04_DATA'!H995=1,'04_DATA'!I995&gt;=3),"eligible","EXCLUDE"))</f>
        <v/>
      </c>
      <c r="D998" s="55">
        <f>IF('04_DATA'!A995="","",37-COUNT('04_DATA'!$K995:$AU995))</f>
        <v/>
      </c>
      <c r="E998" s="63">
        <f>IF('04_DATA'!A995="","",(37-COUNT('04_DATA'!$K995:$AU995))/37)</f>
        <v/>
      </c>
      <c r="F998" s="55">
        <f>IF('04_DATA'!A995="","",IF(AND(COUNT('04_DATA'!$K995:$AU995)=37,COUNTIF('04_DATA'!$K995:$AU995,INDEX('04_DATA'!$K995:$AU995,1))=37),"EXCLUDE","ok"))</f>
        <v/>
      </c>
      <c r="G998" s="55">
        <f>IF('04_DATA'!A995="","",IF('04_DATA'!D995&lt;PERCENTILE('04_DATA'!$D$2:$D$1001,0.05),"FLAG","ok"))</f>
        <v/>
      </c>
      <c r="H998" s="55">
        <f>IF('04_DATA'!A995="","",IF(OR(C998="EXCLUDE",F998="EXCLUDE"),"Exclude under pre-specified rule",IF(E998&gt;0.15,"Exclude: &gt;15% missing",IF(G998="FLAG","Retain; test in robustness battery","Retain"))))</f>
        <v/>
      </c>
    </row>
    <row r="999">
      <c r="A999" s="55" t="n">
        <v>996</v>
      </c>
      <c r="B999" s="55">
        <f>IF('04_DATA'!A996="","",'04_DATA'!A996)</f>
        <v/>
      </c>
      <c r="C999" s="55">
        <f>IF('04_DATA'!A996="","",IF(AND('04_DATA'!G996=1,'04_DATA'!H996=1,'04_DATA'!I996&gt;=3),"eligible","EXCLUDE"))</f>
        <v/>
      </c>
      <c r="D999" s="55">
        <f>IF('04_DATA'!A996="","",37-COUNT('04_DATA'!$K996:$AU996))</f>
        <v/>
      </c>
      <c r="E999" s="63">
        <f>IF('04_DATA'!A996="","",(37-COUNT('04_DATA'!$K996:$AU996))/37)</f>
        <v/>
      </c>
      <c r="F999" s="55">
        <f>IF('04_DATA'!A996="","",IF(AND(COUNT('04_DATA'!$K996:$AU996)=37,COUNTIF('04_DATA'!$K996:$AU996,INDEX('04_DATA'!$K996:$AU996,1))=37),"EXCLUDE","ok"))</f>
        <v/>
      </c>
      <c r="G999" s="55">
        <f>IF('04_DATA'!A996="","",IF('04_DATA'!D996&lt;PERCENTILE('04_DATA'!$D$2:$D$1001,0.05),"FLAG","ok"))</f>
        <v/>
      </c>
      <c r="H999" s="55">
        <f>IF('04_DATA'!A996="","",IF(OR(C999="EXCLUDE",F999="EXCLUDE"),"Exclude under pre-specified rule",IF(E999&gt;0.15,"Exclude: &gt;15% missing",IF(G999="FLAG","Retain; test in robustness battery","Retain"))))</f>
        <v/>
      </c>
    </row>
    <row r="1000">
      <c r="A1000" s="55" t="n">
        <v>997</v>
      </c>
      <c r="B1000" s="55">
        <f>IF('04_DATA'!A997="","",'04_DATA'!A997)</f>
        <v/>
      </c>
      <c r="C1000" s="55">
        <f>IF('04_DATA'!A997="","",IF(AND('04_DATA'!G997=1,'04_DATA'!H997=1,'04_DATA'!I997&gt;=3),"eligible","EXCLUDE"))</f>
        <v/>
      </c>
      <c r="D1000" s="55">
        <f>IF('04_DATA'!A997="","",37-COUNT('04_DATA'!$K997:$AU997))</f>
        <v/>
      </c>
      <c r="E1000" s="63">
        <f>IF('04_DATA'!A997="","",(37-COUNT('04_DATA'!$K997:$AU997))/37)</f>
        <v/>
      </c>
      <c r="F1000" s="55">
        <f>IF('04_DATA'!A997="","",IF(AND(COUNT('04_DATA'!$K997:$AU997)=37,COUNTIF('04_DATA'!$K997:$AU997,INDEX('04_DATA'!$K997:$AU997,1))=37),"EXCLUDE","ok"))</f>
        <v/>
      </c>
      <c r="G1000" s="55">
        <f>IF('04_DATA'!A997="","",IF('04_DATA'!D997&lt;PERCENTILE('04_DATA'!$D$2:$D$1001,0.05),"FLAG","ok"))</f>
        <v/>
      </c>
      <c r="H1000" s="55">
        <f>IF('04_DATA'!A997="","",IF(OR(C1000="EXCLUDE",F1000="EXCLUDE"),"Exclude under pre-specified rule",IF(E1000&gt;0.15,"Exclude: &gt;15% missing",IF(G1000="FLAG","Retain; test in robustness battery","Retain"))))</f>
        <v/>
      </c>
    </row>
    <row r="1001">
      <c r="A1001" s="55" t="n">
        <v>998</v>
      </c>
      <c r="B1001" s="55">
        <f>IF('04_DATA'!A998="","",'04_DATA'!A998)</f>
        <v/>
      </c>
      <c r="C1001" s="55">
        <f>IF('04_DATA'!A998="","",IF(AND('04_DATA'!G998=1,'04_DATA'!H998=1,'04_DATA'!I998&gt;=3),"eligible","EXCLUDE"))</f>
        <v/>
      </c>
      <c r="D1001" s="55">
        <f>IF('04_DATA'!A998="","",37-COUNT('04_DATA'!$K998:$AU998))</f>
        <v/>
      </c>
      <c r="E1001" s="63">
        <f>IF('04_DATA'!A998="","",(37-COUNT('04_DATA'!$K998:$AU998))/37)</f>
        <v/>
      </c>
      <c r="F1001" s="55">
        <f>IF('04_DATA'!A998="","",IF(AND(COUNT('04_DATA'!$K998:$AU998)=37,COUNTIF('04_DATA'!$K998:$AU998,INDEX('04_DATA'!$K998:$AU998,1))=37),"EXCLUDE","ok"))</f>
        <v/>
      </c>
      <c r="G1001" s="55">
        <f>IF('04_DATA'!A998="","",IF('04_DATA'!D998&lt;PERCENTILE('04_DATA'!$D$2:$D$1001,0.05),"FLAG","ok"))</f>
        <v/>
      </c>
      <c r="H1001" s="55">
        <f>IF('04_DATA'!A998="","",IF(OR(C1001="EXCLUDE",F1001="EXCLUDE"),"Exclude under pre-specified rule",IF(E1001&gt;0.15,"Exclude: &gt;15% missing",IF(G1001="FLAG","Retain; test in robustness battery","Retain"))))</f>
        <v/>
      </c>
    </row>
    <row r="1002">
      <c r="A1002" s="55" t="n">
        <v>999</v>
      </c>
      <c r="B1002" s="55">
        <f>IF('04_DATA'!A999="","",'04_DATA'!A999)</f>
        <v/>
      </c>
      <c r="C1002" s="55">
        <f>IF('04_DATA'!A999="","",IF(AND('04_DATA'!G999=1,'04_DATA'!H999=1,'04_DATA'!I999&gt;=3),"eligible","EXCLUDE"))</f>
        <v/>
      </c>
      <c r="D1002" s="55">
        <f>IF('04_DATA'!A999="","",37-COUNT('04_DATA'!$K999:$AU999))</f>
        <v/>
      </c>
      <c r="E1002" s="63">
        <f>IF('04_DATA'!A999="","",(37-COUNT('04_DATA'!$K999:$AU999))/37)</f>
        <v/>
      </c>
      <c r="F1002" s="55">
        <f>IF('04_DATA'!A999="","",IF(AND(COUNT('04_DATA'!$K999:$AU999)=37,COUNTIF('04_DATA'!$K999:$AU999,INDEX('04_DATA'!$K999:$AU999,1))=37),"EXCLUDE","ok"))</f>
        <v/>
      </c>
      <c r="G1002" s="55">
        <f>IF('04_DATA'!A999="","",IF('04_DATA'!D999&lt;PERCENTILE('04_DATA'!$D$2:$D$1001,0.05),"FLAG","ok"))</f>
        <v/>
      </c>
      <c r="H1002" s="55">
        <f>IF('04_DATA'!A999="","",IF(OR(C1002="EXCLUDE",F1002="EXCLUDE"),"Exclude under pre-specified rule",IF(E1002&gt;0.15,"Exclude: &gt;15% missing",IF(G1002="FLAG","Retain; test in robustness battery","Retain"))))</f>
        <v/>
      </c>
    </row>
    <row r="1003">
      <c r="A1003" s="55" t="n">
        <v>1000</v>
      </c>
      <c r="B1003" s="55">
        <f>IF('04_DATA'!A1000="","",'04_DATA'!A1000)</f>
        <v/>
      </c>
      <c r="C1003" s="55">
        <f>IF('04_DATA'!A1000="","",IF(AND('04_DATA'!G1000=1,'04_DATA'!H1000=1,'04_DATA'!I1000&gt;=3),"eligible","EXCLUDE"))</f>
        <v/>
      </c>
      <c r="D1003" s="55">
        <f>IF('04_DATA'!A1000="","",37-COUNT('04_DATA'!$K1000:$AU1000))</f>
        <v/>
      </c>
      <c r="E1003" s="63">
        <f>IF('04_DATA'!A1000="","",(37-COUNT('04_DATA'!$K1000:$AU1000))/37)</f>
        <v/>
      </c>
      <c r="F1003" s="55">
        <f>IF('04_DATA'!A1000="","",IF(AND(COUNT('04_DATA'!$K1000:$AU1000)=37,COUNTIF('04_DATA'!$K1000:$AU1000,INDEX('04_DATA'!$K1000:$AU1000,1))=37),"EXCLUDE","ok"))</f>
        <v/>
      </c>
      <c r="G1003" s="55">
        <f>IF('04_DATA'!A1000="","",IF('04_DATA'!D1000&lt;PERCENTILE('04_DATA'!$D$2:$D$1001,0.05),"FLAG","ok"))</f>
        <v/>
      </c>
      <c r="H1003" s="55">
        <f>IF('04_DATA'!A1000="","",IF(OR(C1003="EXCLUDE",F1003="EXCLUDE"),"Exclude under pre-specified rule",IF(E1003&gt;0.15,"Exclude: &gt;15% missing",IF(G1003="FLAG","Retain; test in robustness battery","Retain"))))</f>
        <v/>
      </c>
    </row>
    <row r="1004">
      <c r="A1004" s="55" t="n">
        <v>1001</v>
      </c>
      <c r="B1004" s="55">
        <f>IF('04_DATA'!A1001="","",'04_DATA'!A1001)</f>
        <v/>
      </c>
      <c r="C1004" s="55">
        <f>IF('04_DATA'!A1001="","",IF(AND('04_DATA'!G1001=1,'04_DATA'!H1001=1,'04_DATA'!I1001&gt;=3),"eligible","EXCLUDE"))</f>
        <v/>
      </c>
      <c r="D1004" s="55">
        <f>IF('04_DATA'!A1001="","",37-COUNT('04_DATA'!$K1001:$AU1001))</f>
        <v/>
      </c>
      <c r="E1004" s="63">
        <f>IF('04_DATA'!A1001="","",(37-COUNT('04_DATA'!$K1001:$AU1001))/37)</f>
        <v/>
      </c>
      <c r="F1004" s="55">
        <f>IF('04_DATA'!A1001="","",IF(AND(COUNT('04_DATA'!$K1001:$AU1001)=37,COUNTIF('04_DATA'!$K1001:$AU1001,INDEX('04_DATA'!$K1001:$AU1001,1))=37),"EXCLUDE","ok"))</f>
        <v/>
      </c>
      <c r="G1004" s="55">
        <f>IF('04_DATA'!A1001="","",IF('04_DATA'!D1001&lt;PERCENTILE('04_DATA'!$D$2:$D$1001,0.05),"FLAG","ok"))</f>
        <v/>
      </c>
      <c r="H1004" s="55">
        <f>IF('04_DATA'!A1001="","",IF(OR(C1004="EXCLUDE",F1004="EXCLUDE"),"Exclude under pre-specified rule",IF(E1004&gt;0.15,"Exclude: &gt;15% missing",IF(G1004="FLAG","Retain; test in robustness battery","Retain"))))</f>
        <v/>
      </c>
    </row>
  </sheetData>
  <mergeCells count="1">
    <mergeCell ref="A2:H2"/>
  </mergeCells>
  <conditionalFormatting sqref="C5:C1004">
    <cfRule type="cellIs" priority="1" operator="equal" dxfId="0">
      <formula>"EXCLUDE"</formula>
    </cfRule>
  </conditionalFormatting>
  <conditionalFormatting sqref="F5:F1004">
    <cfRule type="cellIs" priority="2" operator="equal" dxfId="0">
      <formula>"EXCLUDE"</formula>
    </cfRule>
  </conditionalFormatting>
  <conditionalFormatting sqref="G5:G1004">
    <cfRule type="cellIs" priority="3" operator="equal" dxfId="1">
      <formula>"FLAG"</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2026-08-14T08:54:28Z</dcterms:created>
  <dcterms:modified xmlns:dcterms="http://purl.org/dc/terms/" xmlns:xsi="http://www.w3.org/2001/XMLSchema-instance" xsi:type="dcterms:W3CDTF">2026-08-14T08:54:28Z</dcterms:modified>
</cp:coreProperties>
</file>